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ções" sheetId="1" r:id="rId4"/>
    <sheet state="visible" name="Tarefas" sheetId="2" r:id="rId5"/>
    <sheet state="visible" name="Coordenação" sheetId="3" r:id="rId6"/>
    <sheet state="visible" name="Programação" sheetId="4" r:id="rId7"/>
    <sheet state="visible" name="Estimativa de orçamento" sheetId="5" r:id="rId8"/>
    <sheet state="visible" name="Orçamento detalhado" sheetId="6" r:id="rId9"/>
    <sheet state="visible" name="Lista de convidados" sheetId="7" r:id="rId10"/>
    <sheet state="visible" name="Convites" sheetId="8" r:id="rId11"/>
    <sheet state="visible" name="Presentes" sheetId="9" r:id="rId12"/>
    <sheet state="visible" name="Mapa de assentos" sheetId="10" r:id="rId13"/>
    <sheet state="visible" name="Hotel" sheetId="11" r:id="rId14"/>
    <sheet state="visible" name="Local" sheetId="12" r:id="rId15"/>
    <sheet state="visible" name="Cabelo e maquiagem" sheetId="13" r:id="rId16"/>
    <sheet state="visible" name="Flores" sheetId="14" r:id="rId17"/>
    <sheet state="visible" name="Trajes" sheetId="15" r:id="rId18"/>
    <sheet state="visible" name="Bolo" sheetId="16" r:id="rId19"/>
    <sheet state="visible" name="Bufê" sheetId="17" r:id="rId20"/>
    <sheet state="visible" name="Fotógrafo" sheetId="18" r:id="rId21"/>
    <sheet state="visible" name="Cinegrafista" sheetId="19" r:id="rId22"/>
    <sheet state="visible" name="Entretenimento" sheetId="20" r:id="rId23"/>
    <sheet state="visible" name="Música" sheetId="21" r:id="rId24"/>
  </sheets>
  <definedNames>
    <definedName localSheetId="7" name="TotalPlacecards">Convites!$E$4</definedName>
    <definedName localSheetId="15" name="TotalSlices">Bolo!$D$3</definedName>
    <definedName localSheetId="7" name="TotalThankyous">Convites!$H$3</definedName>
    <definedName localSheetId="7" name="TotalRSVPs">Convites!$E$3</definedName>
    <definedName localSheetId="7" name="TotalPrograms">Convites!$C$4</definedName>
    <definedName localSheetId="13" name="TotalBoutineers">Flores!$C$4</definedName>
    <definedName localSheetId="12" name="AdditionalPeople">'Cabelo e maquiagem'!$C$4</definedName>
    <definedName localSheetId="12" name="Brides">'Cabelo e maquiagem'!$C$3</definedName>
    <definedName localSheetId="7" name="TotalInvitations">Convites!$C$3</definedName>
    <definedName localSheetId="13" name="TotalBouquets">Flores!$C$3</definedName>
    <definedName name="TotalBudget">'Estimativa de orçamento'!$C$5</definedName>
    <definedName localSheetId="12" name="HairHours">'Cabelo e maquiagem'!$E$3</definedName>
    <definedName localSheetId="16" name="DinnerGuests">'Bufê'!$D$3</definedName>
    <definedName hidden="1" localSheetId="1" name="_xlnm._FilterDatabase">Tarefas!$B$5:$E$50</definedName>
    <definedName hidden="1" localSheetId="6" name="_xlnm._FilterDatabase">'Lista de convidados'!$B$5:$R$150</definedName>
  </definedNames>
  <calcPr/>
</workbook>
</file>

<file path=xl/sharedStrings.xml><?xml version="1.0" encoding="utf-8"?>
<sst xmlns="http://schemas.openxmlformats.org/spreadsheetml/2006/main" count="509" uniqueCount="262">
  <si>
    <t>Planejamento do casamento</t>
  </si>
  <si>
    <t>Seções</t>
  </si>
  <si>
    <t xml:space="preserve">Facilite o planejamento do casamento usando este modelo para centralizar as informações. Faça o acompanhamento das tarefas, compare fornecedores, monitore o orçamento e planeje a cerimônia.
Cada guia da página representa uma categoria. Preencha as guias na ordem que você quiser. Adicione, exclua ou personalize cada guia com base nas suas necessidades específicas. 
Compartilhe esta página com amigos e familiares para colaborar com eles. </t>
  </si>
  <si>
    <t>VISÃO GERAL</t>
  </si>
  <si>
    <t>ESTILO</t>
  </si>
  <si>
    <t>Tarefas</t>
  </si>
  <si>
    <t>Trajes</t>
  </si>
  <si>
    <t>Coordenação</t>
  </si>
  <si>
    <t>Cabelo e maquiagem</t>
  </si>
  <si>
    <t>Programação do dia do casamento</t>
  </si>
  <si>
    <t>Flores</t>
  </si>
  <si>
    <t>ORÇAMENTOS</t>
  </si>
  <si>
    <t>COMIDA</t>
  </si>
  <si>
    <t>Estimativa de orçamento</t>
  </si>
  <si>
    <t>Bolo de casamento</t>
  </si>
  <si>
    <t>Orçamento detalhado</t>
  </si>
  <si>
    <t>Serviço de bufê</t>
  </si>
  <si>
    <t>CONVIDADOS</t>
  </si>
  <si>
    <t>FOTOGRAFIA</t>
  </si>
  <si>
    <t>OBSERVAÇÃO</t>
  </si>
  <si>
    <t>Lista de convidados</t>
  </si>
  <si>
    <t>Fotógrafo</t>
  </si>
  <si>
    <t>Algumas células contêm fórmulas. Tente não editá-las. Os valores serão recalculados automaticamente com base nos outros valores que você digitar.</t>
  </si>
  <si>
    <t>Convites</t>
  </si>
  <si>
    <t>Cinegrafista</t>
  </si>
  <si>
    <t>Mapa de assentos</t>
  </si>
  <si>
    <t>ENTRETENIMENTO</t>
  </si>
  <si>
    <t>Presentes</t>
  </si>
  <si>
    <t>Entretenimento</t>
  </si>
  <si>
    <t>Parabéns e divirta-se planejando seu grande dia!</t>
  </si>
  <si>
    <t>LOCAIS</t>
  </si>
  <si>
    <t>Música</t>
  </si>
  <si>
    <t>Local</t>
  </si>
  <si>
    <t>Hotel</t>
  </si>
  <si>
    <t>Lista de tarefas</t>
  </si>
  <si>
    <t>Prazo</t>
  </si>
  <si>
    <t>Progresso</t>
  </si>
  <si>
    <t>Observações</t>
  </si>
  <si>
    <t>Encontrar seu parceiro ideal</t>
  </si>
  <si>
    <t>Concluída</t>
  </si>
  <si>
    <t>Altere a formatação dos itens com o status "Concluída" no menu "Formatar" &gt; "Formatação condicional..." na Web.</t>
  </si>
  <si>
    <t>Primeiro digite a lista de convidados</t>
  </si>
  <si>
    <t>Hoje</t>
  </si>
  <si>
    <t>Em andamento</t>
  </si>
  <si>
    <t>Você pode adicionar ou remover opções de "Progresso" no menu "Dados" &gt; "Validação..." na Web.</t>
  </si>
  <si>
    <t>Preencher as estimativas de planejamento e controle do orçamento</t>
  </si>
  <si>
    <t>Não iniciada</t>
  </si>
  <si>
    <t>Listar os endereços para o envio dos convites</t>
  </si>
  <si>
    <t>Criar um website do casamento para os convidados</t>
  </si>
  <si>
    <t>Entrevistar os fotógrafos</t>
  </si>
  <si>
    <t>Escolher o serviço de bufê</t>
  </si>
  <si>
    <t>Próximo mês</t>
  </si>
  <si>
    <t>Escolher o local da festa</t>
  </si>
  <si>
    <t>Liste as funções que podem ser desempenhadas por amigos ou profissionais, 
como cerimonialista, juiz de paz ou mestre de cerimônia.</t>
  </si>
  <si>
    <t>Nome</t>
  </si>
  <si>
    <t>Função</t>
  </si>
  <si>
    <t>Telefone</t>
  </si>
  <si>
    <t>E-mail</t>
  </si>
  <si>
    <t>Website</t>
  </si>
  <si>
    <t>Custo</t>
  </si>
  <si>
    <t>Primeiro Último</t>
  </si>
  <si>
    <t>Cerimonialista</t>
  </si>
  <si>
    <t>(55) 000-0000</t>
  </si>
  <si>
    <t>email@email.com</t>
  </si>
  <si>
    <t>website.com</t>
  </si>
  <si>
    <t>Hora</t>
  </si>
  <si>
    <t>Item</t>
  </si>
  <si>
    <t>12h</t>
  </si>
  <si>
    <t>Digite as estimativas de cada categoria abaixo. Você pode adicionar, remover ou personalizar as categorias não aplicáveis.</t>
  </si>
  <si>
    <t>Os totais serão calculados automaticamente. Os valores "Reais" são baseados na guia "Orçamento detalhado".</t>
  </si>
  <si>
    <t>Orçamento total:</t>
  </si>
  <si>
    <t>Estimado</t>
  </si>
  <si>
    <t>Real</t>
  </si>
  <si>
    <t>% do orçamento</t>
  </si>
  <si>
    <t>Totais</t>
  </si>
  <si>
    <t>Cerimônia</t>
  </si>
  <si>
    <t>Festa</t>
  </si>
  <si>
    <t>Materiais impressos</t>
  </si>
  <si>
    <t>Presentes/lembranças</t>
  </si>
  <si>
    <t>Alianças</t>
  </si>
  <si>
    <t>Bolo</t>
  </si>
  <si>
    <t>Serviço de bufê e bebidas</t>
  </si>
  <si>
    <t>Fotografia</t>
  </si>
  <si>
    <t>Diversos</t>
  </si>
  <si>
    <t>Categoria personalizada 1</t>
  </si>
  <si>
    <t>Categoria personalizada 2</t>
  </si>
  <si>
    <t>Categoria personalizada 3</t>
  </si>
  <si>
    <t>Categoria personalizada 4</t>
  </si>
  <si>
    <t>Depois de preencher a guia "Estimativa de orçamento", planeje e controle uma análise mais detalhada preenchendo os valores em "Estimado" e "Real". 
O "Orçamento previsto", o "Total estimado" e o "Total real" serão calculados automaticamente.</t>
  </si>
  <si>
    <t>Decoração/acessórios</t>
  </si>
  <si>
    <t>Locação</t>
  </si>
  <si>
    <t>Orçamento previsto</t>
  </si>
  <si>
    <t>Total estimado</t>
  </si>
  <si>
    <t>Total real</t>
  </si>
  <si>
    <t>Decoração</t>
  </si>
  <si>
    <t>Estacionamento/transporte</t>
  </si>
  <si>
    <t>Pré-convites</t>
  </si>
  <si>
    <t>Programas do casamento</t>
  </si>
  <si>
    <t>Presentes para padrinhos/madrinhas</t>
  </si>
  <si>
    <t>Lembranças</t>
  </si>
  <si>
    <t>Presentes para os pais</t>
  </si>
  <si>
    <t>Custos adicionais</t>
  </si>
  <si>
    <t>Trajes de casamento</t>
  </si>
  <si>
    <t>Alterações</t>
  </si>
  <si>
    <t>Alianças de casamento</t>
  </si>
  <si>
    <t>Cabelo/maquiagem</t>
  </si>
  <si>
    <t>Buquê</t>
  </si>
  <si>
    <t>Decorações/centros de mesa</t>
  </si>
  <si>
    <t>Bolo + taxa de corte</t>
  </si>
  <si>
    <t>Comida + garçons</t>
  </si>
  <si>
    <t>Bebidas + bartenders</t>
  </si>
  <si>
    <t>Impressões adicionais</t>
  </si>
  <si>
    <t xml:space="preserve">Cerimônia </t>
  </si>
  <si>
    <t>Itens diversos</t>
  </si>
  <si>
    <t>Personalize sua lista de convidados adicionando linhas e colunas. Você pode renomear ou excluir as seções desnecessárias.</t>
  </si>
  <si>
    <t>INFORMAÇÕES DE CONTATO</t>
  </si>
  <si>
    <t>CONVITES</t>
  </si>
  <si>
    <t>CASAMENTO</t>
  </si>
  <si>
    <t>ENSAIO</t>
  </si>
  <si>
    <t>DETALHES</t>
  </si>
  <si>
    <t>Nomes</t>
  </si>
  <si>
    <t>Sobrenomes</t>
  </si>
  <si>
    <t>Endereço</t>
  </si>
  <si>
    <t>Convidado por...</t>
  </si>
  <si>
    <t>Pré-convite</t>
  </si>
  <si>
    <t>Convite</t>
  </si>
  <si>
    <t>Resposta</t>
  </si>
  <si>
    <t>Confirmados</t>
  </si>
  <si>
    <t>Crianças</t>
  </si>
  <si>
    <t>Número de convidados</t>
  </si>
  <si>
    <t>Restrições alimentares</t>
  </si>
  <si>
    <t>Número da mesa</t>
  </si>
  <si>
    <t>Descrição do presente</t>
  </si>
  <si>
    <t>Mensagem de agradecimento enviada?</t>
  </si>
  <si>
    <t xml:space="preserve"> Observações</t>
  </si>
  <si>
    <t>Sobrenome</t>
  </si>
  <si>
    <t>Endereço, 111, 
Nova York, NY 11201</t>
  </si>
  <si>
    <t>Enviado</t>
  </si>
  <si>
    <t>Talvez</t>
  </si>
  <si>
    <t>Vegetariano</t>
  </si>
  <si>
    <t xml:space="preserve"> Observações adicionais</t>
  </si>
  <si>
    <t xml:space="preserve">
Altere o número total de convites, cartões e programas à esquerda. 
Em seguida, digite o custo por item na tabela abaixo. 
Os totais serão calculados automaticamente.</t>
  </si>
  <si>
    <t>Número de convites:</t>
  </si>
  <si>
    <t>Número de cartões de RSVP:</t>
  </si>
  <si>
    <t>Número de cartões de agradecimento:</t>
  </si>
  <si>
    <t>Número de programas:</t>
  </si>
  <si>
    <t>Número de marcadores de lugar:</t>
  </si>
  <si>
    <t xml:space="preserve">Telefone </t>
  </si>
  <si>
    <t>Cartão de RSVP</t>
  </si>
  <si>
    <t>Mensagem de agradecimento</t>
  </si>
  <si>
    <t>Programa</t>
  </si>
  <si>
    <t>Marcador de lugar</t>
  </si>
  <si>
    <t>Custo total</t>
  </si>
  <si>
    <t>Papelaria</t>
  </si>
  <si>
    <t>Liste as possíveis lembranças para os convidados e os presentes da festa de casamento.</t>
  </si>
  <si>
    <t xml:space="preserve"> Nome</t>
  </si>
  <si>
    <t>Número de presentes</t>
  </si>
  <si>
    <t>Custo (por presente)</t>
  </si>
  <si>
    <t>Total</t>
  </si>
  <si>
    <t>LEMBRANÇAS</t>
  </si>
  <si>
    <t>Loja 1</t>
  </si>
  <si>
    <t>Descrição</t>
  </si>
  <si>
    <t>Loja 2</t>
  </si>
  <si>
    <t>Loja 3</t>
  </si>
  <si>
    <t>Loja 4</t>
  </si>
  <si>
    <t>PRESENTES PARA PADRINHOS/MADRINHAS</t>
  </si>
  <si>
    <t>Loja A</t>
  </si>
  <si>
    <t>Loja B</t>
  </si>
  <si>
    <t>Loja C</t>
  </si>
  <si>
    <t>Loja D</t>
  </si>
  <si>
    <t>Depois que você preencher os nomes dos convidados, o número total de pessoas em cada mesa será exibido à direita na célula J3.</t>
  </si>
  <si>
    <t>Total de convidados:</t>
  </si>
  <si>
    <t>Mesa principal</t>
  </si>
  <si>
    <t>Mesa 1</t>
  </si>
  <si>
    <t>Mesa 2</t>
  </si>
  <si>
    <t>Mesa 3</t>
  </si>
  <si>
    <t>Mesa 4</t>
  </si>
  <si>
    <t>Mesa 5</t>
  </si>
  <si>
    <t>Mesa 6</t>
  </si>
  <si>
    <t>Mesa 7</t>
  </si>
  <si>
    <t>Mesa 8</t>
  </si>
  <si>
    <t>Pessoa 1</t>
  </si>
  <si>
    <t>Mesa 9</t>
  </si>
  <si>
    <t>Mesa 10</t>
  </si>
  <si>
    <t>Mesa 11</t>
  </si>
  <si>
    <t>Mesa 12</t>
  </si>
  <si>
    <t>Mesa 13</t>
  </si>
  <si>
    <t>Mesa 14</t>
  </si>
  <si>
    <t>Mesa 15</t>
  </si>
  <si>
    <t>Mesa 16</t>
  </si>
  <si>
    <t>Mesa 17</t>
  </si>
  <si>
    <t>Faça reservas com tarifas para grupos e reserve a suíte de núpcias se o casamento não for no hotel.</t>
  </si>
  <si>
    <t>Nome do hotel</t>
  </si>
  <si>
    <t>Nome do contato</t>
  </si>
  <si>
    <t>Diária do quarto para grupo</t>
  </si>
  <si>
    <t>Diária da suíte</t>
  </si>
  <si>
    <t>Número mínimo de quartos necessários</t>
  </si>
  <si>
    <t>Hotel 1</t>
  </si>
  <si>
    <t>Liste os possíveis locais do casamento.</t>
  </si>
  <si>
    <t>Capacidade</t>
  </si>
  <si>
    <t>Número de horas</t>
  </si>
  <si>
    <t>Custo do espaço</t>
  </si>
  <si>
    <t>Custo/pessoa</t>
  </si>
  <si>
    <t>Mínimo de comida/bebida</t>
  </si>
  <si>
    <t>Nome do local</t>
  </si>
  <si>
    <t>Primeira Rua, 111, Nova York, NY 10011</t>
  </si>
  <si>
    <t xml:space="preserve">Compare diferentes maquiadores e cabeleireiros antes do grande dia. 
Como o preço da maquiagem da noiva costuma ser diferente, ele é listado separadamente. </t>
  </si>
  <si>
    <t>Noiva (cabelo/maquiagem):</t>
  </si>
  <si>
    <t>Número de horas (cabelo):</t>
  </si>
  <si>
    <t>Pessoas adicionais:</t>
  </si>
  <si>
    <t>Maquiagem: noiva</t>
  </si>
  <si>
    <t>Maquiagem: outras pessoas</t>
  </si>
  <si>
    <t>Preços</t>
  </si>
  <si>
    <t>Teste</t>
  </si>
  <si>
    <t>Dia do casamento</t>
  </si>
  <si>
    <t xml:space="preserve">Subtotal  </t>
  </si>
  <si>
    <t>Subtotal</t>
  </si>
  <si>
    <t>Maquiador 1</t>
  </si>
  <si>
    <t>Por pessoa</t>
  </si>
  <si>
    <t>Cabelo: noiva</t>
  </si>
  <si>
    <t>Cabelo: outras pessoas</t>
  </si>
  <si>
    <t>Cabeleireiro 1</t>
  </si>
  <si>
    <t>Por hora</t>
  </si>
  <si>
    <t>Lista de possíveis floristas e o custo dos principais itens.</t>
  </si>
  <si>
    <t>Número de buquês:</t>
  </si>
  <si>
    <t>Número de flores de lapela:</t>
  </si>
  <si>
    <t>Buquê (noiva)</t>
  </si>
  <si>
    <t>Buquê (outros)</t>
  </si>
  <si>
    <t>Flor da lapela</t>
  </si>
  <si>
    <t>Outros</t>
  </si>
  <si>
    <t>Florista 1</t>
  </si>
  <si>
    <t>Observações sobre os arranjos de flores</t>
  </si>
  <si>
    <t>Traje do casamento</t>
  </si>
  <si>
    <t>Categoria</t>
  </si>
  <si>
    <t>Precisa de alterações?</t>
  </si>
  <si>
    <t>Vestidos de casamento</t>
  </si>
  <si>
    <t>Loja de vestidos de noivas 1</t>
  </si>
  <si>
    <t>Não</t>
  </si>
  <si>
    <t>Inclui alterações</t>
  </si>
  <si>
    <t>A maioria dos bolos é calculada por fatia.
Pode haver encargos adicionais para a decoração e o transporte.</t>
  </si>
  <si>
    <t>Número de fatias (aproximado):</t>
  </si>
  <si>
    <t>Custo (por fatia)</t>
  </si>
  <si>
    <t>Custo de transporte</t>
  </si>
  <si>
    <t>Confeitaria</t>
  </si>
  <si>
    <t>Lista de possíveis serviços de bufê e descrição do estilo de comida.</t>
  </si>
  <si>
    <t>Número estimado de convidados:</t>
  </si>
  <si>
    <t>Serviço de bufê 1</t>
  </si>
  <si>
    <t>Fotos do noivado</t>
  </si>
  <si>
    <t>Álbum de fotos</t>
  </si>
  <si>
    <t>Fotógrafo 1</t>
  </si>
  <si>
    <t>Cinegrafista 1</t>
  </si>
  <si>
    <t>Lista de possíveis DJs ou qualquer entretenimento ao vivo e o que está incluído no custo.</t>
  </si>
  <si>
    <t>Custo estimado</t>
  </si>
  <si>
    <t>Horas</t>
  </si>
  <si>
    <t>FESTA</t>
  </si>
  <si>
    <t>DJ</t>
  </si>
  <si>
    <t>CERIMÔNIA</t>
  </si>
  <si>
    <t>Quarteto de cordas</t>
  </si>
  <si>
    <t>Lista de músicas a serem tocadas na cerimônia e na festa.</t>
  </si>
  <si>
    <t>Nome da música</t>
  </si>
  <si>
    <t>Artista</t>
  </si>
  <si>
    <t>Música instrumental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</si>
</sst>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quot;/&quot;mm"/>
    <numFmt numFmtId="165" formatCode="m&quot;/&quot;d"/>
    <numFmt numFmtId="166" formatCode="mmm&quot; &quot;d"/>
    <numFmt numFmtId="167" formatCode="[$R$]#,##0"/>
    <numFmt numFmtId="168" formatCode="m&quot;/&quot;d&quot;/&quot;yy"/>
    <numFmt numFmtId="169" formatCode="&quot;$&quot;#,##0"/>
    <numFmt numFmtId="170" formatCode="[$R$]#,##0.00"/>
    <numFmt numFmtId="171" formatCode="&quot;$&quot;#,##0.00"/>
  </numFmts>
  <fonts count="104">
    <font>
      <sz val="10.0"/>
      <color rgb="FF000000"/>
      <name val="Arial"/>
    </font>
    <font>
      <sz val="10.0"/>
      <name val="Lato"/>
    </font>
    <font>
      <sz val="26.0"/>
      <color rgb="FFCC0284"/>
      <name val="Lato"/>
    </font>
    <font>
      <i/>
      <sz val="26.0"/>
      <color rgb="FFCC0284"/>
      <name val="Lato"/>
    </font>
    <font>
      <sz val="30.0"/>
      <color rgb="FFCC0284"/>
      <name val="Alegreya"/>
    </font>
    <font>
      <sz val="30.0"/>
      <color rgb="FFCC0284"/>
      <name val="Lato"/>
    </font>
    <font>
      <name val="Lato"/>
    </font>
    <font>
      <sz val="10.0"/>
      <color rgb="FF434343"/>
      <name val="Lato"/>
    </font>
    <font>
      <b/>
      <sz val="10.0"/>
      <color rgb="FF666666"/>
      <name val="Lato"/>
    </font>
    <font>
      <sz val="10.0"/>
      <color rgb="FF666666"/>
      <name val="Lato"/>
    </font>
    <font>
      <i/>
      <u/>
      <sz val="10.0"/>
      <color rgb="FFCC0284"/>
      <name val="Lato"/>
    </font>
    <font>
      <b/>
      <sz val="10.0"/>
      <color rgb="FFCC0284"/>
      <name val="Lato"/>
    </font>
    <font>
      <b/>
      <sz val="11.0"/>
      <color rgb="FFCC0284"/>
      <name val="Lato"/>
    </font>
    <font>
      <b/>
      <sz val="12.0"/>
      <color rgb="FFCC0284"/>
      <name val="Alegreya"/>
    </font>
    <font>
      <i/>
      <sz val="12.0"/>
      <color rgb="FF434343"/>
      <name val="Lato"/>
    </font>
    <font>
      <color rgb="FF666666"/>
      <name val="Lato"/>
    </font>
    <font>
      <sz val="30.0"/>
      <color rgb="FF689F38"/>
      <name val="Alegreya"/>
    </font>
    <font>
      <i/>
      <sz val="10.0"/>
      <name val="Lato"/>
    </font>
    <font>
      <b/>
      <sz val="10.0"/>
      <color rgb="FF0B8043"/>
      <name val="Lato"/>
    </font>
    <font>
      <strike/>
      <sz val="10.0"/>
      <color rgb="FF666666"/>
      <name val="Lato"/>
    </font>
    <font>
      <i/>
      <sz val="10.0"/>
      <color rgb="FF666666"/>
      <name val="Lato"/>
    </font>
    <font>
      <i/>
      <sz val="10.0"/>
      <color rgb="FF999999"/>
      <name val="Lato"/>
    </font>
    <font>
      <i/>
      <sz val="10.0"/>
      <color rgb="FFB7B7B7"/>
      <name val="Lato"/>
    </font>
    <font>
      <i/>
      <sz val="10.0"/>
      <color rgb="FF767676"/>
      <name val="Lato"/>
    </font>
    <font>
      <sz val="10.0"/>
      <color rgb="FF0B8043"/>
      <name val="Lato"/>
    </font>
    <font>
      <sz val="10.0"/>
      <color rgb="FF000000"/>
      <name val="Lato"/>
    </font>
    <font>
      <u/>
      <sz val="10.0"/>
      <color rgb="FF666666"/>
      <name val="Lato"/>
    </font>
    <font>
      <sz val="10.0"/>
      <color rgb="FF689F38"/>
      <name val="Lato"/>
    </font>
    <font>
      <sz val="10.0"/>
      <color rgb="FF767676"/>
      <name val="Lato"/>
    </font>
    <font>
      <sz val="10.0"/>
      <color rgb="FFEF6C00"/>
      <name val="Lato"/>
    </font>
    <font>
      <sz val="30.0"/>
      <color rgb="FFEF6C00"/>
      <name val="Alegreya"/>
    </font>
    <font>
      <sz val="10.0"/>
      <color rgb="FF795548"/>
      <name val="Lato"/>
    </font>
    <font>
      <b/>
      <sz val="10.0"/>
      <color rgb="FF434343"/>
      <name val="Lato"/>
    </font>
    <font>
      <b/>
      <sz val="10.0"/>
      <color rgb="FF795548"/>
      <name val="Lato"/>
    </font>
    <font>
      <sz val="10.0"/>
      <color rgb="FFB45F06"/>
      <name val="Lato"/>
    </font>
    <font>
      <b/>
      <i/>
      <sz val="10.0"/>
      <color rgb="FFB45F06"/>
      <name val="Lato"/>
    </font>
    <font>
      <i/>
      <sz val="10.0"/>
      <color rgb="FFB45F06"/>
      <name val="Lato"/>
    </font>
    <font>
      <i/>
      <sz val="10.0"/>
      <color rgb="FF795548"/>
      <name val="Lato"/>
    </font>
    <font>
      <i/>
      <sz val="23.0"/>
      <color rgb="FFEF6C00"/>
      <name val="Lato"/>
    </font>
    <font>
      <i/>
      <sz val="10.0"/>
      <color rgb="FF434343"/>
      <name val="Lato"/>
    </font>
    <font>
      <i/>
      <sz val="18.0"/>
      <color rgb="FF767676"/>
      <name val="Lato"/>
    </font>
    <font>
      <sz val="20.0"/>
      <color rgb="FFEF6C00"/>
      <name val="Alegreya"/>
    </font>
    <font>
      <b/>
      <sz val="10.0"/>
      <color rgb="FFB45F06"/>
      <name val="Lato"/>
    </font>
    <font>
      <sz val="20.0"/>
      <color rgb="FF767676"/>
      <name val="Lato"/>
    </font>
    <font>
      <sz val="30.0"/>
      <color rgb="FF9C27B0"/>
      <name val="Alegreya"/>
    </font>
    <font>
      <b/>
      <sz val="10.0"/>
      <name val="Lato"/>
    </font>
    <font>
      <b/>
      <sz val="11.0"/>
      <color rgb="FF7B1FA2"/>
      <name val="Lato"/>
    </font>
    <font>
      <sz val="9.0"/>
      <color rgb="FF7B1FA2"/>
      <name val="Lato"/>
    </font>
    <font>
      <b/>
      <sz val="9.0"/>
      <color rgb="FF7B1FA2"/>
      <name val="Lato"/>
    </font>
    <font>
      <sz val="9.0"/>
      <color rgb="FF000000"/>
      <name val="Lato"/>
    </font>
    <font>
      <sz val="9.0"/>
      <color rgb="FF666666"/>
      <name val="Lato"/>
    </font>
    <font>
      <i/>
      <sz val="9.0"/>
      <color rgb="FF767676"/>
      <name val="Lato"/>
    </font>
    <font>
      <sz val="24.0"/>
      <color rgb="FF9C27B0"/>
      <name val="Lato"/>
    </font>
    <font>
      <sz val="10.0"/>
      <color rgb="FF7B1FA2"/>
      <name val="Lato"/>
    </font>
    <font>
      <sz val="10.0"/>
      <color rgb="FF9C27B0"/>
      <name val="Lato"/>
    </font>
    <font>
      <color rgb="FF9C27B0"/>
      <name val="Lato"/>
    </font>
    <font>
      <b/>
      <name val="Lato"/>
    </font>
    <font>
      <b/>
      <color rgb="FF9C27B0"/>
      <name val="Lato"/>
    </font>
    <font>
      <b/>
      <color rgb="FF7B1FA2"/>
      <name val="Lato"/>
    </font>
    <font>
      <u/>
      <sz val="10.0"/>
      <color rgb="FF666666"/>
      <name val="Lato"/>
    </font>
    <font>
      <color rgb="FF7B1FA2"/>
      <name val="Lato"/>
    </font>
    <font>
      <b/>
      <sz val="10.0"/>
      <color rgb="FF7B1FA2"/>
      <name val="Lato"/>
    </font>
    <font>
      <b/>
      <i/>
      <sz val="10.0"/>
      <color rgb="FF7B1FA2"/>
      <name val="Lato"/>
    </font>
    <font>
      <color rgb="FF434343"/>
      <name val="Lato"/>
    </font>
    <font>
      <color rgb="FF999999"/>
      <name val="Lato"/>
    </font>
    <font>
      <sz val="10.0"/>
      <color rgb="FF999999"/>
      <name val="Lato"/>
    </font>
    <font>
      <i/>
      <color rgb="FF7B1FA2"/>
      <name val="Lato"/>
    </font>
    <font>
      <i/>
      <color rgb="FF767676"/>
      <name val="Lato"/>
    </font>
    <font>
      <color rgb="FF767676"/>
      <name val="Lato"/>
    </font>
    <font>
      <u/>
      <color rgb="FF767676"/>
      <name val="Lato"/>
    </font>
    <font>
      <b/>
      <color rgb="FF666666"/>
      <name val="Lato"/>
    </font>
    <font>
      <color rgb="FFFFFFFF"/>
      <name val="Lato"/>
    </font>
    <font>
      <color rgb="FF000000"/>
      <name val="Lato"/>
    </font>
    <font>
      <b/>
      <color rgb="FF434343"/>
      <name val="Lato"/>
    </font>
    <font>
      <sz val="9.0"/>
      <color rgb="FF434343"/>
      <name val="Lato"/>
    </font>
    <font>
      <i/>
      <color rgb="FF999999"/>
      <name val="Lato"/>
    </font>
    <font>
      <sz val="30.0"/>
      <color rgb="FF0288D1"/>
      <name val="Alegreya"/>
    </font>
    <font>
      <sz val="24.0"/>
      <color rgb="FF767676"/>
      <name val="Lato"/>
    </font>
    <font>
      <b/>
      <color rgb="FF0277BD"/>
      <name val="Lato"/>
    </font>
    <font>
      <b/>
      <i/>
      <color rgb="FF0277BD"/>
      <name val="Lato"/>
    </font>
    <font>
      <color rgb="FF0288D1"/>
      <name val="Lato"/>
    </font>
    <font>
      <sz val="24.0"/>
      <color rgb="FF0288D1"/>
      <name val="Lato"/>
    </font>
    <font>
      <b/>
      <color rgb="FF0288D1"/>
      <name val="Lato"/>
    </font>
    <font>
      <sz val="24.0"/>
      <name val="Lato"/>
    </font>
    <font>
      <b/>
      <color rgb="FF0B8043"/>
      <name val="Lato"/>
    </font>
    <font>
      <b/>
      <i/>
      <name val="Lato"/>
    </font>
    <font>
      <i/>
      <sz val="9.0"/>
      <name val="Lato"/>
    </font>
    <font>
      <i/>
      <sz val="9.0"/>
      <color rgb="FF0B8043"/>
      <name val="Lato"/>
    </font>
    <font>
      <b/>
      <i/>
      <color rgb="FF0B8043"/>
      <name val="Lato"/>
    </font>
    <font>
      <u/>
      <sz val="10.0"/>
      <color rgb="FF767676"/>
      <name val="Lato"/>
    </font>
    <font>
      <i/>
      <color rgb="FF0B8043"/>
      <name val="Lato"/>
    </font>
    <font>
      <color rgb="FF0B8043"/>
      <name val="Lato"/>
    </font>
    <font>
      <i/>
      <name val="Lato"/>
    </font>
    <font>
      <u/>
      <color rgb="FF767676"/>
      <name val="Lato"/>
    </font>
    <font>
      <i/>
      <sz val="23.0"/>
      <color rgb="FF689F38"/>
      <name val="Lato"/>
    </font>
    <font>
      <u/>
      <color rgb="FF666666"/>
      <name val="Lato"/>
    </font>
    <font>
      <sz val="24.0"/>
      <color rgb="FFEF6C00"/>
      <name val="Lato"/>
    </font>
    <font>
      <color rgb="FF795548"/>
      <name val="Lato"/>
    </font>
    <font>
      <b/>
      <color rgb="FF795548"/>
      <name val="Lato"/>
    </font>
    <font>
      <b/>
      <i/>
      <color rgb="FF795548"/>
      <name val="Lato"/>
    </font>
    <font>
      <u/>
      <sz val="10.0"/>
      <color rgb="FF666666"/>
      <name val="Lato"/>
    </font>
    <font>
      <b/>
      <i/>
      <color rgb="FF7B1FA2"/>
      <name val="Lato"/>
    </font>
    <font>
      <b/>
      <i/>
      <color rgb="FF0288D1"/>
      <name val="Lato"/>
    </font>
    <font>
      <u/>
      <color rgb="FF666666"/>
      <name val="Lato"/>
    </font>
  </fonts>
  <fills count="10">
    <fill>
      <patternFill patternType="none"/>
    </fill>
    <fill>
      <patternFill patternType="lightGray"/>
    </fill>
    <fill>
      <patternFill patternType="solid">
        <fgColor rgb="FFCC0284"/>
        <bgColor rgb="FFCC0284"/>
      </patternFill>
    </fill>
    <fill>
      <patternFill patternType="solid">
        <fgColor rgb="FFFFFFFF"/>
        <bgColor rgb="FFFFFFFF"/>
      </patternFill>
    </fill>
    <fill>
      <patternFill patternType="solid">
        <fgColor rgb="FF689F38"/>
        <bgColor rgb="FF689F38"/>
      </patternFill>
    </fill>
    <fill>
      <patternFill patternType="solid">
        <fgColor rgb="FFF3F3F3"/>
        <bgColor rgb="FFF3F3F3"/>
      </patternFill>
    </fill>
    <fill>
      <patternFill patternType="solid">
        <fgColor rgb="FFF57C00"/>
        <bgColor rgb="FFF57C00"/>
      </patternFill>
    </fill>
    <fill>
      <patternFill patternType="solid">
        <fgColor rgb="FF7B1FA2"/>
        <bgColor rgb="FF7B1FA2"/>
      </patternFill>
    </fill>
    <fill>
      <patternFill patternType="solid">
        <fgColor rgb="FFEDE7F6"/>
        <bgColor rgb="FFEDE7F6"/>
      </patternFill>
    </fill>
    <fill>
      <patternFill patternType="solid">
        <fgColor rgb="FF0288D1"/>
        <bgColor rgb="FF0288D1"/>
      </patternFill>
    </fill>
  </fills>
  <borders count="46">
    <border/>
    <border>
      <bottom style="thin">
        <color rgb="FFD9D9D9"/>
      </bottom>
    </border>
    <border>
      <left style="dotted">
        <color rgb="FFCCCCCC"/>
      </left>
      <top style="dotted">
        <color rgb="FFCCCCCC"/>
      </top>
    </border>
    <border>
      <top style="dotted">
        <color rgb="FFCCCCCC"/>
      </top>
    </border>
    <border>
      <right style="dotted">
        <color rgb="FFCCCCCC"/>
      </right>
      <top style="dotted">
        <color rgb="FFCCCCCC"/>
      </top>
    </border>
    <border>
      <left style="dotted">
        <color rgb="FFCCCCCC"/>
      </left>
    </border>
    <border>
      <right style="dotted">
        <color rgb="FFCCCCCC"/>
      </right>
    </border>
    <border>
      <right style="dotted">
        <color rgb="FFCCCCCC"/>
      </right>
      <bottom style="dotted">
        <color rgb="FFCCCCCC"/>
      </bottom>
    </border>
    <border>
      <bottom style="thin">
        <color rgb="FFEFEFEF"/>
      </bottom>
    </border>
    <border>
      <right style="thin">
        <color rgb="FFFFFFFF"/>
      </right>
    </border>
    <border>
      <left style="thin">
        <color rgb="FFFFFFFF"/>
      </left>
      <right style="thin">
        <color rgb="FFFFFFFF"/>
      </right>
    </border>
    <border>
      <left style="thin">
        <color rgb="FFFFFFFF"/>
      </left>
    </border>
    <border>
      <top style="thin">
        <color rgb="FFD9D9D9"/>
      </top>
      <bottom style="thin">
        <color rgb="FFD9D9D9"/>
      </bottom>
    </border>
    <border>
      <bottom style="thin">
        <color rgb="FFCCCCCC"/>
      </bottom>
    </border>
    <border>
      <bottom style="thin">
        <color rgb="FFB7B7B7"/>
      </bottom>
    </border>
    <border>
      <bottom style="thin">
        <color rgb="FFB4A7D6"/>
      </bottom>
    </border>
    <border>
      <left style="dotted">
        <color rgb="FFB7B7B7"/>
      </left>
      <bottom style="thin">
        <color rgb="FFB4A7D6"/>
      </bottom>
    </border>
    <border>
      <bottom style="thin">
        <color rgb="FFF3F3F3"/>
      </bottom>
    </border>
    <border>
      <left style="dotted">
        <color rgb="FFD9D9D9"/>
      </left>
      <bottom style="thin">
        <color rgb="FFF3F3F3"/>
      </bottom>
    </border>
    <border>
      <right style="dotted">
        <color rgb="FFD9D9D9"/>
      </right>
      <bottom style="thin">
        <color rgb="FFF3F3F3"/>
      </bottom>
    </border>
    <border>
      <top style="thin">
        <color rgb="FFF3F3F3"/>
      </top>
      <bottom style="thin">
        <color rgb="FFF3F3F3"/>
      </bottom>
    </border>
    <border>
      <left style="dotted">
        <color rgb="FFD9D9D9"/>
      </left>
      <top style="thin">
        <color rgb="FFF3F3F3"/>
      </top>
      <bottom style="thin">
        <color rgb="FFF3F3F3"/>
      </bottom>
    </border>
    <border>
      <right style="dotted">
        <color rgb="FFD9D9D9"/>
      </right>
      <top style="thin">
        <color rgb="FFF3F3F3"/>
      </top>
      <bottom style="thin">
        <color rgb="FFF3F3F3"/>
      </bottom>
    </border>
    <border>
      <top style="thin">
        <color rgb="FFF3F3F3"/>
      </top>
      <bottom style="thin">
        <color rgb="FFCCCCCC"/>
      </bottom>
    </border>
    <border>
      <left style="dotted">
        <color rgb="FFD9D9D9"/>
      </left>
      <top style="thin">
        <color rgb="FFF3F3F3"/>
      </top>
      <bottom style="thin">
        <color rgb="FFCCCCCC"/>
      </bottom>
    </border>
    <border>
      <right style="dotted">
        <color rgb="FFD9D9D9"/>
      </right>
      <top style="thin">
        <color rgb="FFF3F3F3"/>
      </top>
      <bottom style="thin">
        <color rgb="FFCCCCCC"/>
      </bottom>
    </border>
    <border>
      <left style="dotted">
        <color rgb="FFCCCCCC"/>
      </left>
      <top style="dotted">
        <color rgb="FFCCCCCC"/>
      </top>
      <bottom style="dotted">
        <color rgb="FFCCCCCC"/>
      </bottom>
    </border>
    <border>
      <right style="dotted">
        <color rgb="FFCCCCCC"/>
      </right>
      <top style="dotted">
        <color rgb="FFCCCCCC"/>
      </top>
      <bottom style="dotted">
        <color rgb="FFCCCCCC"/>
      </bottom>
    </border>
    <border>
      <left style="thin">
        <color rgb="FFD9D2E9"/>
      </left>
      <right style="thin">
        <color rgb="FFD9D2E9"/>
      </right>
      <top style="thin">
        <color rgb="FFD9D2E9"/>
      </top>
      <bottom style="thin">
        <color rgb="FFD9D2E9"/>
      </bottom>
    </border>
    <border>
      <left style="thin">
        <color rgb="FFEDE7F6"/>
      </left>
      <right style="thin">
        <color rgb="FFEDE7F6"/>
      </right>
    </border>
    <border>
      <left style="thin">
        <color rgb="FFEDE7F6"/>
      </left>
      <right style="thin">
        <color rgb="FFEDE7F6"/>
      </right>
      <top style="thin">
        <color rgb="FFEDE7F6"/>
      </top>
      <bottom style="thin">
        <color rgb="FFEDE7F6"/>
      </bottom>
    </border>
    <border>
      <right style="thin">
        <color rgb="FFD9D2E9"/>
      </right>
    </border>
    <border>
      <right style="thin">
        <color rgb="FFD9D2E9"/>
      </right>
      <top style="thin">
        <color rgb="FFD9D2E9"/>
      </top>
      <bottom style="thin">
        <color rgb="FFD9D2E9"/>
      </bottom>
    </border>
    <border>
      <right style="thin">
        <color rgb="FFEDE7F6"/>
      </right>
    </border>
    <border>
      <right style="thin">
        <color rgb="FFEDE7F6"/>
      </right>
      <bottom style="thin">
        <color rgb="FFEDE7F6"/>
      </bottom>
    </border>
    <border>
      <left style="dotted">
        <color rgb="FFB7B7B7"/>
      </left>
      <bottom style="thin">
        <color rgb="FFD9D9D9"/>
      </bottom>
    </border>
    <border>
      <right style="dotted">
        <color rgb="FFB7B7B7"/>
      </right>
      <bottom style="thin">
        <color rgb="FFD9D9D9"/>
      </bottom>
    </border>
    <border>
      <right style="thin">
        <color rgb="FFFFFFFF"/>
      </right>
      <bottom style="thin">
        <color rgb="FFEFEFEF"/>
      </bottom>
    </border>
    <border>
      <left style="thin">
        <color rgb="FFFFFFFF"/>
      </left>
      <right style="thin">
        <color rgb="FFFFFFFF"/>
      </right>
      <bottom style="thin">
        <color rgb="FFEFEFEF"/>
      </bottom>
    </border>
    <border>
      <left style="thin">
        <color rgb="FFFFFFFF"/>
      </left>
      <bottom style="thin">
        <color rgb="FFEFEFEF"/>
      </bottom>
    </border>
    <border>
      <left style="dotted">
        <color rgb="FFB7B7B7"/>
      </left>
      <bottom style="thin">
        <color rgb="FFEFEFEF"/>
      </bottom>
    </border>
    <border>
      <right style="dotted">
        <color rgb="FFB7B7B7"/>
      </right>
      <bottom style="thin">
        <color rgb="FFEFEFEF"/>
      </bottom>
    </border>
    <border>
      <left style="dotted">
        <color rgb="FFB7B7B7"/>
      </left>
      <bottom style="thin">
        <color rgb="FFF3F3F3"/>
      </bottom>
    </border>
    <border>
      <right style="dotted">
        <color rgb="FFB7B7B7"/>
      </right>
      <bottom style="thin">
        <color rgb="FFF3F3F3"/>
      </bottom>
    </border>
    <border>
      <left style="dotted">
        <color rgb="FFB7B7B7"/>
      </left>
    </border>
    <border>
      <right style="dotted">
        <color rgb="FFB7B7B7"/>
      </right>
    </border>
  </borders>
  <cellStyleXfs count="1">
    <xf borderId="0" fillId="0" fontId="0" numFmtId="0" applyAlignment="1" applyFont="1"/>
  </cellStyleXfs>
  <cellXfs count="604">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shrinkToFit="0" vertical="bottom" wrapText="1"/>
    </xf>
    <xf borderId="0" fillId="0" fontId="2" numFmtId="0" xfId="0" applyAlignment="1" applyFont="1">
      <alignment vertical="bottom"/>
    </xf>
    <xf borderId="0" fillId="0" fontId="3" numFmtId="0" xfId="0" applyAlignment="1" applyFont="1">
      <alignment horizontal="left" readingOrder="0" shrinkToFit="0" vertical="bottom" wrapText="1"/>
    </xf>
    <xf borderId="0" fillId="0" fontId="4" numFmtId="0" xfId="0" applyAlignment="1" applyFont="1">
      <alignment horizontal="left" readingOrder="0" shrinkToFit="0" vertical="bottom" wrapText="0"/>
    </xf>
    <xf borderId="0" fillId="0" fontId="5" numFmtId="0" xfId="0" applyAlignment="1" applyFont="1">
      <alignment horizontal="left" readingOrder="0" shrinkToFit="0" vertical="bottom" wrapText="1"/>
    </xf>
    <xf borderId="0" fillId="0" fontId="5" numFmtId="0" xfId="0" applyAlignment="1" applyFont="1">
      <alignment horizontal="left" vertical="bottom"/>
    </xf>
    <xf borderId="0" fillId="0" fontId="4" numFmtId="0" xfId="0" applyAlignment="1" applyFont="1">
      <alignment horizontal="left" readingOrder="0" shrinkToFit="0" vertical="bottom" wrapText="1"/>
    </xf>
    <xf borderId="0" fillId="0" fontId="1" numFmtId="49" xfId="0" applyAlignment="1" applyFont="1" applyNumberFormat="1">
      <alignment vertical="bottom"/>
    </xf>
    <xf borderId="0" fillId="0" fontId="6" numFmtId="0" xfId="0" applyAlignment="1" applyFont="1">
      <alignment shrinkToFit="0" wrapText="1"/>
    </xf>
    <xf borderId="1" fillId="0" fontId="6" numFmtId="0" xfId="0" applyAlignment="1" applyBorder="1" applyFont="1">
      <alignment shrinkToFit="0" wrapText="1"/>
    </xf>
    <xf borderId="1" fillId="0" fontId="1" numFmtId="49" xfId="0" applyAlignment="1" applyBorder="1" applyFont="1" applyNumberFormat="1">
      <alignment vertical="bottom"/>
    </xf>
    <xf borderId="0" fillId="0" fontId="1" numFmtId="0" xfId="0" applyAlignment="1" applyFont="1">
      <alignment vertical="bottom"/>
    </xf>
    <xf borderId="0" fillId="3" fontId="7" numFmtId="0" xfId="0" applyAlignment="1" applyFill="1" applyFont="1">
      <alignment shrinkToFit="0" vertical="bottom" wrapText="1"/>
    </xf>
    <xf borderId="0" fillId="3" fontId="1" numFmtId="0" xfId="0" applyAlignment="1" applyFont="1">
      <alignment vertical="bottom"/>
    </xf>
    <xf borderId="0" fillId="0" fontId="1" numFmtId="49" xfId="0" applyAlignment="1" applyFont="1" applyNumberFormat="1">
      <alignment vertical="top"/>
    </xf>
    <xf borderId="0" fillId="3" fontId="7" numFmtId="0" xfId="0" applyAlignment="1" applyFont="1">
      <alignment horizontal="left" readingOrder="0" shrinkToFit="0" vertical="top" wrapText="1"/>
    </xf>
    <xf borderId="0" fillId="3" fontId="7" numFmtId="0" xfId="0" applyAlignment="1" applyFont="1">
      <alignment horizontal="left" readingOrder="0" shrinkToFit="0" vertical="bottom" wrapText="1"/>
    </xf>
    <xf borderId="0" fillId="3" fontId="8" numFmtId="49" xfId="0" applyAlignment="1" applyFont="1" applyNumberFormat="1">
      <alignment horizontal="left" shrinkToFit="0" vertical="bottom" wrapText="0"/>
    </xf>
    <xf borderId="0" fillId="3" fontId="8" numFmtId="49" xfId="0" applyAlignment="1" applyFont="1" applyNumberFormat="1">
      <alignment horizontal="left" readingOrder="0" shrinkToFit="0" vertical="bottom" wrapText="0"/>
    </xf>
    <xf borderId="0" fillId="3" fontId="9" numFmtId="49" xfId="0" applyAlignment="1" applyFont="1" applyNumberFormat="1">
      <alignment vertical="bottom"/>
    </xf>
    <xf borderId="0" fillId="3" fontId="9" numFmtId="49" xfId="0" applyAlignment="1" applyFont="1" applyNumberFormat="1">
      <alignment vertical="top"/>
    </xf>
    <xf borderId="0" fillId="0" fontId="9" numFmtId="49" xfId="0" applyAlignment="1" applyFont="1" applyNumberFormat="1">
      <alignment vertical="top"/>
    </xf>
    <xf borderId="0" fillId="3" fontId="1" numFmtId="49" xfId="0" applyAlignment="1" applyFont="1" applyNumberFormat="1">
      <alignment vertical="center"/>
    </xf>
    <xf borderId="0" fillId="3" fontId="9" numFmtId="49" xfId="0" applyAlignment="1" applyFont="1" applyNumberFormat="1">
      <alignment vertical="center"/>
    </xf>
    <xf borderId="0" fillId="3" fontId="9" numFmtId="49" xfId="0" applyAlignment="1" applyFont="1" applyNumberFormat="1">
      <alignment horizontal="left" readingOrder="0" vertical="center"/>
    </xf>
    <xf borderId="0" fillId="3" fontId="9" numFmtId="49" xfId="0" applyAlignment="1" applyFont="1" applyNumberFormat="1">
      <alignment horizontal="left" readingOrder="0" vertical="center"/>
    </xf>
    <xf borderId="0" fillId="3" fontId="9" numFmtId="0" xfId="0" applyAlignment="1" applyFont="1">
      <alignment vertical="bottom"/>
    </xf>
    <xf borderId="0" fillId="0" fontId="9" numFmtId="0" xfId="0" applyAlignment="1" applyFont="1">
      <alignment vertical="bottom"/>
    </xf>
    <xf borderId="0" fillId="3" fontId="9" numFmtId="0" xfId="0" applyAlignment="1" applyFont="1">
      <alignment horizontal="left" readingOrder="0" vertical="center"/>
    </xf>
    <xf borderId="0" fillId="3" fontId="9" numFmtId="0" xfId="0" applyAlignment="1" applyFont="1">
      <alignment vertical="center"/>
    </xf>
    <xf borderId="0" fillId="3" fontId="9" numFmtId="0" xfId="0" applyAlignment="1" applyFont="1">
      <alignment vertical="top"/>
    </xf>
    <xf borderId="0" fillId="0" fontId="9" numFmtId="0" xfId="0" applyAlignment="1" applyFont="1">
      <alignment vertical="top"/>
    </xf>
    <xf borderId="0" fillId="0" fontId="6" numFmtId="0" xfId="0" applyAlignment="1" applyFont="1">
      <alignment vertical="center"/>
    </xf>
    <xf borderId="0" fillId="0" fontId="10" numFmtId="0" xfId="0" applyAlignment="1" applyFont="1">
      <alignment horizontal="left" shrinkToFit="0" vertical="top" wrapText="0"/>
    </xf>
    <xf borderId="0" fillId="0" fontId="6" numFmtId="0" xfId="0" applyFont="1"/>
    <xf borderId="0" fillId="0" fontId="9" numFmtId="49" xfId="0" applyAlignment="1" applyFont="1" applyNumberFormat="1">
      <alignment vertical="bottom"/>
    </xf>
    <xf borderId="2" fillId="3" fontId="11" numFmtId="0" xfId="0" applyAlignment="1" applyBorder="1" applyFont="1">
      <alignment horizontal="left" readingOrder="0" shrinkToFit="0" vertical="bottom" wrapText="1"/>
    </xf>
    <xf borderId="3" fillId="3" fontId="12" numFmtId="0" xfId="0" applyAlignment="1" applyBorder="1" applyFont="1">
      <alignment horizontal="left" readingOrder="0" shrinkToFit="0" vertical="bottom" wrapText="1"/>
    </xf>
    <xf borderId="4" fillId="3" fontId="11" numFmtId="0" xfId="0" applyAlignment="1" applyBorder="1" applyFont="1">
      <alignment horizontal="left" readingOrder="0" shrinkToFit="0" vertical="bottom" wrapText="1"/>
    </xf>
    <xf borderId="5" fillId="3" fontId="7" numFmtId="0" xfId="0" applyAlignment="1" applyBorder="1" applyFont="1">
      <alignment horizontal="left" readingOrder="0" shrinkToFit="0" vertical="center" wrapText="1"/>
    </xf>
    <xf borderId="6" fillId="3" fontId="7" numFmtId="0" xfId="0" applyAlignment="1" applyBorder="1" applyFont="1">
      <alignment horizontal="left" readingOrder="0" shrinkToFit="0" vertical="top" wrapText="1"/>
    </xf>
    <xf borderId="7" fillId="3" fontId="7" numFmtId="0" xfId="0" applyAlignment="1" applyBorder="1" applyFont="1">
      <alignment horizontal="left" readingOrder="0" shrinkToFit="0" vertical="top" wrapText="1"/>
    </xf>
    <xf borderId="3" fillId="0" fontId="6" numFmtId="0" xfId="0" applyBorder="1" applyFont="1"/>
    <xf borderId="0" fillId="0" fontId="6" numFmtId="0" xfId="0" applyFont="1"/>
    <xf borderId="0" fillId="3" fontId="13" numFmtId="0" xfId="0" applyAlignment="1" applyFont="1">
      <alignment horizontal="left" readingOrder="0" shrinkToFit="0" vertical="top" wrapText="1"/>
    </xf>
    <xf borderId="0" fillId="3" fontId="9" numFmtId="49" xfId="0" applyAlignment="1" applyFont="1" applyNumberFormat="1">
      <alignment horizontal="left" vertical="center"/>
    </xf>
    <xf borderId="0" fillId="3" fontId="14" numFmtId="0" xfId="0" applyAlignment="1" applyFont="1">
      <alignment horizontal="left" shrinkToFit="0" vertical="center" wrapText="1"/>
    </xf>
    <xf borderId="0" fillId="0" fontId="1" numFmtId="0" xfId="0" applyAlignment="1" applyFont="1">
      <alignment vertical="center"/>
    </xf>
    <xf borderId="0" fillId="0" fontId="9" numFmtId="0" xfId="0" applyAlignment="1" applyFont="1">
      <alignment vertical="center"/>
    </xf>
    <xf borderId="0" fillId="0" fontId="15" numFmtId="0" xfId="0" applyAlignment="1" applyFont="1">
      <alignment vertical="center"/>
    </xf>
    <xf borderId="0" fillId="4" fontId="1" numFmtId="0" xfId="0" applyAlignment="1" applyFill="1" applyFont="1">
      <alignment vertical="bottom"/>
    </xf>
    <xf borderId="0" fillId="0" fontId="16" numFmtId="0" xfId="0" applyAlignment="1" applyFont="1">
      <alignment horizontal="left" readingOrder="0" vertical="bottom"/>
    </xf>
    <xf borderId="0" fillId="0" fontId="17" numFmtId="0" xfId="0" applyAlignment="1" applyFont="1">
      <alignment horizontal="right" readingOrder="0" shrinkToFit="0" vertical="bottom" wrapText="0"/>
    </xf>
    <xf borderId="8" fillId="0" fontId="1" numFmtId="0" xfId="0" applyAlignment="1" applyBorder="1" applyFont="1">
      <alignment vertical="bottom"/>
    </xf>
    <xf borderId="9" fillId="0" fontId="18" numFmtId="0" xfId="0" applyAlignment="1" applyBorder="1" applyFont="1">
      <alignment readingOrder="0" vertical="center"/>
    </xf>
    <xf borderId="10" fillId="0" fontId="18" numFmtId="0" xfId="0" applyAlignment="1" applyBorder="1" applyFont="1">
      <alignment readingOrder="0" vertical="center"/>
    </xf>
    <xf borderId="11" fillId="0" fontId="18" numFmtId="0" xfId="0" applyAlignment="1" applyBorder="1" applyFont="1">
      <alignment readingOrder="0" vertical="center"/>
    </xf>
    <xf borderId="9" fillId="5" fontId="19" numFmtId="0" xfId="0" applyAlignment="1" applyBorder="1" applyFill="1" applyFont="1">
      <alignment readingOrder="0" shrinkToFit="0" vertical="center" wrapText="1"/>
    </xf>
    <xf borderId="9" fillId="5" fontId="19" numFmtId="164" xfId="0" applyAlignment="1" applyBorder="1" applyFont="1" applyNumberFormat="1">
      <alignment horizontal="left" readingOrder="0" vertical="center"/>
    </xf>
    <xf borderId="9" fillId="5" fontId="19" numFmtId="0" xfId="0" applyAlignment="1" applyBorder="1" applyFont="1">
      <alignment readingOrder="0" vertical="center"/>
    </xf>
    <xf borderId="0" fillId="5" fontId="20" numFmtId="0" xfId="0" applyAlignment="1" applyFont="1">
      <alignment horizontal="left" readingOrder="0" shrinkToFit="0" vertical="center" wrapText="1"/>
    </xf>
    <xf borderId="9" fillId="0" fontId="1" numFmtId="0" xfId="0" applyAlignment="1" applyBorder="1" applyFont="1">
      <alignment readingOrder="0" shrinkToFit="0" vertical="center" wrapText="1"/>
    </xf>
    <xf borderId="9" fillId="0" fontId="9" numFmtId="0" xfId="0" applyAlignment="1" applyBorder="1" applyFont="1">
      <alignment horizontal="left" readingOrder="0" vertical="center"/>
    </xf>
    <xf borderId="9" fillId="0" fontId="9" numFmtId="0" xfId="0" applyAlignment="1" applyBorder="1" applyFont="1">
      <alignment readingOrder="0" vertical="center"/>
    </xf>
    <xf borderId="0" fillId="0" fontId="20" numFmtId="0" xfId="0" applyAlignment="1" applyFont="1">
      <alignment readingOrder="0" shrinkToFit="0" vertical="center" wrapText="1"/>
    </xf>
    <xf borderId="9" fillId="5" fontId="1" numFmtId="0" xfId="0" applyAlignment="1" applyBorder="1" applyFont="1">
      <alignment readingOrder="0" shrinkToFit="0" vertical="center" wrapText="1"/>
    </xf>
    <xf borderId="9" fillId="5" fontId="9" numFmtId="164" xfId="0" applyAlignment="1" applyBorder="1" applyFont="1" applyNumberFormat="1">
      <alignment horizontal="left" readingOrder="0" vertical="center"/>
    </xf>
    <xf borderId="9" fillId="5" fontId="9" numFmtId="0" xfId="0" applyAlignment="1" applyBorder="1" applyFont="1">
      <alignment readingOrder="0" vertical="center"/>
    </xf>
    <xf borderId="9" fillId="0" fontId="9" numFmtId="164" xfId="0" applyAlignment="1" applyBorder="1" applyFont="1" applyNumberFormat="1">
      <alignment horizontal="left" readingOrder="0" vertical="center"/>
    </xf>
    <xf borderId="0" fillId="0" fontId="20" numFmtId="0" xfId="0" applyAlignment="1" applyFont="1">
      <alignment shrinkToFit="0" vertical="center" wrapText="1"/>
    </xf>
    <xf borderId="0" fillId="5" fontId="20" numFmtId="0" xfId="0" applyAlignment="1" applyFont="1">
      <alignment horizontal="left" shrinkToFit="0" vertical="center" wrapText="1"/>
    </xf>
    <xf borderId="9" fillId="5" fontId="9" numFmtId="0" xfId="0" applyAlignment="1" applyBorder="1" applyFont="1">
      <alignment horizontal="left" readingOrder="0" vertical="center"/>
    </xf>
    <xf borderId="9" fillId="5" fontId="1" numFmtId="0" xfId="0" applyAlignment="1" applyBorder="1" applyFont="1">
      <alignment vertical="center"/>
    </xf>
    <xf borderId="9" fillId="5" fontId="9" numFmtId="165" xfId="0" applyAlignment="1" applyBorder="1" applyFont="1" applyNumberFormat="1">
      <alignment horizontal="left" vertical="center"/>
    </xf>
    <xf borderId="9" fillId="0" fontId="1" numFmtId="0" xfId="0" applyAlignment="1" applyBorder="1" applyFont="1">
      <alignment vertical="center"/>
    </xf>
    <xf borderId="9" fillId="0" fontId="9" numFmtId="165" xfId="0" applyAlignment="1" applyBorder="1" applyFont="1" applyNumberFormat="1">
      <alignment horizontal="left" vertical="center"/>
    </xf>
    <xf borderId="9" fillId="3" fontId="9" numFmtId="0" xfId="0" applyAlignment="1" applyBorder="1" applyFont="1">
      <alignment readingOrder="0" vertical="center"/>
    </xf>
    <xf borderId="9" fillId="0" fontId="1" numFmtId="0" xfId="0" applyAlignment="1" applyBorder="1" applyFont="1">
      <alignment readingOrder="0" vertical="center"/>
    </xf>
    <xf borderId="9" fillId="0" fontId="9" numFmtId="165" xfId="0" applyAlignment="1" applyBorder="1" applyFont="1" applyNumberFormat="1">
      <alignment horizontal="left" readingOrder="0" vertical="center"/>
    </xf>
    <xf borderId="9" fillId="5" fontId="1" numFmtId="14" xfId="0" applyAlignment="1" applyBorder="1" applyFont="1" applyNumberFormat="1">
      <alignment readingOrder="0" vertical="center"/>
    </xf>
    <xf borderId="9" fillId="0" fontId="9" numFmtId="166" xfId="0" applyAlignment="1" applyBorder="1" applyFont="1" applyNumberFormat="1">
      <alignment horizontal="left" readingOrder="0" vertical="center"/>
    </xf>
    <xf borderId="9" fillId="0" fontId="9" numFmtId="0" xfId="0" applyAlignment="1" applyBorder="1" applyFont="1">
      <alignment vertical="center"/>
    </xf>
    <xf borderId="0" fillId="0" fontId="21" numFmtId="0" xfId="0" applyAlignment="1" applyFont="1">
      <alignment shrinkToFit="0" vertical="center" wrapText="1"/>
    </xf>
    <xf borderId="0" fillId="4" fontId="1" numFmtId="0" xfId="0" applyAlignment="1" applyFont="1">
      <alignment vertical="center"/>
    </xf>
    <xf borderId="0" fillId="0" fontId="22" numFmtId="0" xfId="0" applyAlignment="1" applyFont="1">
      <alignment horizontal="right" shrinkToFit="0" vertical="bottom" wrapText="0"/>
    </xf>
    <xf borderId="0" fillId="0" fontId="23" numFmtId="0" xfId="0" applyAlignment="1" applyFont="1">
      <alignment horizontal="right" readingOrder="0" shrinkToFit="0" vertical="bottom" wrapText="1"/>
    </xf>
    <xf borderId="8" fillId="0" fontId="1" numFmtId="0" xfId="0" applyAlignment="1" applyBorder="1" applyFont="1">
      <alignment vertical="center"/>
    </xf>
    <xf borderId="0" fillId="0" fontId="24" numFmtId="0" xfId="0" applyAlignment="1" applyFont="1">
      <alignment vertical="center"/>
    </xf>
    <xf borderId="0" fillId="0" fontId="18" numFmtId="0" xfId="0" applyAlignment="1" applyFont="1">
      <alignment readingOrder="0" vertical="center"/>
    </xf>
    <xf borderId="0" fillId="0" fontId="18" numFmtId="0" xfId="0" applyAlignment="1" applyFont="1">
      <alignment horizontal="center" readingOrder="0" vertical="center"/>
    </xf>
    <xf borderId="9" fillId="5" fontId="25" numFmtId="0" xfId="0" applyAlignment="1" applyBorder="1" applyFont="1">
      <alignment readingOrder="0" vertical="center"/>
    </xf>
    <xf borderId="9" fillId="5" fontId="26" numFmtId="0" xfId="0" applyAlignment="1" applyBorder="1" applyFont="1">
      <alignment readingOrder="0" shrinkToFit="0" vertical="center" wrapText="0"/>
    </xf>
    <xf borderId="9" fillId="5" fontId="25" numFmtId="167" xfId="0" applyAlignment="1" applyBorder="1" applyFont="1" applyNumberFormat="1">
      <alignment horizontal="right" readingOrder="0" vertical="center"/>
    </xf>
    <xf borderId="0" fillId="5" fontId="21" numFmtId="0" xfId="0" applyAlignment="1" applyFont="1">
      <alignment horizontal="left" readingOrder="0" shrinkToFit="0" vertical="center" wrapText="1"/>
    </xf>
    <xf borderId="9" fillId="0" fontId="25" numFmtId="0" xfId="0" applyAlignment="1" applyBorder="1" applyFont="1">
      <alignment vertical="center"/>
    </xf>
    <xf borderId="9" fillId="0" fontId="9" numFmtId="168" xfId="0" applyAlignment="1" applyBorder="1" applyFont="1" applyNumberFormat="1">
      <alignment horizontal="left" vertical="center"/>
    </xf>
    <xf borderId="9" fillId="0" fontId="25" numFmtId="169" xfId="0" applyAlignment="1" applyBorder="1" applyFont="1" applyNumberFormat="1">
      <alignment horizontal="right" readingOrder="0" vertical="center"/>
    </xf>
    <xf borderId="0" fillId="0" fontId="21" numFmtId="0" xfId="0" applyAlignment="1" applyFont="1">
      <alignment horizontal="left" readingOrder="0" shrinkToFit="0" vertical="center" wrapText="1"/>
    </xf>
    <xf borderId="9" fillId="5" fontId="25" numFmtId="0" xfId="0" applyAlignment="1" applyBorder="1" applyFont="1">
      <alignment vertical="center"/>
    </xf>
    <xf borderId="9" fillId="5" fontId="9" numFmtId="168" xfId="0" applyAlignment="1" applyBorder="1" applyFont="1" applyNumberFormat="1">
      <alignment horizontal="left" vertical="center"/>
    </xf>
    <xf borderId="9" fillId="5" fontId="9" numFmtId="0" xfId="0" applyAlignment="1" applyBorder="1" applyFont="1">
      <alignment vertical="center"/>
    </xf>
    <xf borderId="9" fillId="5" fontId="25" numFmtId="169" xfId="0" applyAlignment="1" applyBorder="1" applyFont="1" applyNumberFormat="1">
      <alignment horizontal="right" readingOrder="0" vertical="center"/>
    </xf>
    <xf borderId="9" fillId="0" fontId="9" numFmtId="168" xfId="0" applyAlignment="1" applyBorder="1" applyFont="1" applyNumberFormat="1">
      <alignment vertical="center"/>
    </xf>
    <xf borderId="9" fillId="0" fontId="25" numFmtId="169" xfId="0" applyAlignment="1" applyBorder="1" applyFont="1" applyNumberFormat="1">
      <alignment horizontal="right" vertical="center"/>
    </xf>
    <xf borderId="9" fillId="5" fontId="9" numFmtId="168" xfId="0" applyAlignment="1" applyBorder="1" applyFont="1" applyNumberFormat="1">
      <alignment vertical="center"/>
    </xf>
    <xf borderId="9" fillId="5" fontId="25" numFmtId="169" xfId="0" applyAlignment="1" applyBorder="1" applyFont="1" applyNumberFormat="1">
      <alignment horizontal="right" vertical="center"/>
    </xf>
    <xf borderId="9" fillId="5" fontId="9" numFmtId="0" xfId="0" applyAlignment="1" applyBorder="1" applyFont="1">
      <alignment readingOrder="0" shrinkToFit="0" vertical="center" wrapText="0"/>
    </xf>
    <xf borderId="0" fillId="0" fontId="25" numFmtId="0" xfId="0" applyAlignment="1" applyFont="1">
      <alignment vertical="center"/>
    </xf>
    <xf borderId="0" fillId="0" fontId="9" numFmtId="168" xfId="0" applyAlignment="1" applyFont="1" applyNumberFormat="1">
      <alignment vertical="center"/>
    </xf>
    <xf borderId="0" fillId="0" fontId="25" numFmtId="169" xfId="0" applyAlignment="1" applyFont="1" applyNumberFormat="1">
      <alignment horizontal="right" vertical="center"/>
    </xf>
    <xf borderId="0" fillId="4" fontId="1" numFmtId="0" xfId="0" applyAlignment="1" applyFont="1">
      <alignment shrinkToFit="0" vertical="bottom" wrapText="1"/>
    </xf>
    <xf borderId="0" fillId="0" fontId="27" numFmtId="0" xfId="0" applyAlignment="1" applyFont="1">
      <alignment vertical="bottom"/>
    </xf>
    <xf borderId="0" fillId="0" fontId="16" numFmtId="0" xfId="0" applyAlignment="1" applyFont="1">
      <alignment horizontal="left" readingOrder="0" shrinkToFit="0" vertical="bottom" wrapText="0"/>
    </xf>
    <xf borderId="8" fillId="0" fontId="24" numFmtId="0" xfId="0" applyAlignment="1" applyBorder="1" applyFont="1">
      <alignment vertical="center"/>
    </xf>
    <xf borderId="8" fillId="0" fontId="24" numFmtId="0" xfId="0" applyAlignment="1" applyBorder="1" applyFont="1">
      <alignment shrinkToFit="0" vertical="center" wrapText="1"/>
    </xf>
    <xf borderId="0" fillId="0" fontId="24" numFmtId="0" xfId="0" applyAlignment="1" applyFont="1">
      <alignment shrinkToFit="0" vertical="center" wrapText="1"/>
    </xf>
    <xf borderId="0" fillId="0" fontId="18" numFmtId="0" xfId="0" applyAlignment="1" applyFont="1">
      <alignment horizontal="right" readingOrder="0" shrinkToFit="0" vertical="center" wrapText="1"/>
    </xf>
    <xf borderId="0" fillId="0" fontId="18" numFmtId="0" xfId="0" applyAlignment="1" applyFont="1">
      <alignment readingOrder="0" shrinkToFit="0" vertical="center" wrapText="1"/>
    </xf>
    <xf borderId="9" fillId="0" fontId="28" numFmtId="49" xfId="0" applyAlignment="1" applyBorder="1" applyFont="1" applyNumberFormat="1">
      <alignment horizontal="right" readingOrder="0" shrinkToFit="0" vertical="center" wrapText="1"/>
    </xf>
    <xf borderId="0" fillId="0" fontId="7" numFmtId="0" xfId="0" applyAlignment="1" applyFont="1">
      <alignment vertical="center"/>
    </xf>
    <xf borderId="9" fillId="5" fontId="7" numFmtId="0" xfId="0" applyAlignment="1" applyBorder="1" applyFont="1">
      <alignment horizontal="left" readingOrder="0" shrinkToFit="0" vertical="center" wrapText="1"/>
    </xf>
    <xf borderId="0" fillId="5" fontId="20" numFmtId="0" xfId="0" applyAlignment="1" applyFont="1">
      <alignment readingOrder="0" shrinkToFit="0" vertical="center" wrapText="1"/>
    </xf>
    <xf borderId="9" fillId="0" fontId="28" numFmtId="49" xfId="0" applyAlignment="1" applyBorder="1" applyFont="1" applyNumberFormat="1">
      <alignment horizontal="right" shrinkToFit="0" vertical="center" wrapText="1"/>
    </xf>
    <xf borderId="9" fillId="0" fontId="7" numFmtId="0" xfId="0" applyAlignment="1" applyBorder="1" applyFont="1">
      <alignment horizontal="left" readingOrder="0" shrinkToFit="0" vertical="center" wrapText="1"/>
    </xf>
    <xf borderId="0" fillId="5" fontId="20" numFmtId="0" xfId="0" applyAlignment="1" applyFont="1">
      <alignment shrinkToFit="0" vertical="center" wrapText="1"/>
    </xf>
    <xf borderId="0" fillId="6" fontId="1" numFmtId="0" xfId="0" applyAlignment="1" applyFill="1" applyFont="1">
      <alignment vertical="center"/>
    </xf>
    <xf borderId="0" fillId="0" fontId="29" numFmtId="0" xfId="0" applyAlignment="1" applyFont="1">
      <alignment vertical="bottom"/>
    </xf>
    <xf borderId="0" fillId="0" fontId="30" numFmtId="0" xfId="0" applyAlignment="1" applyFont="1">
      <alignment horizontal="left" readingOrder="0" vertical="bottom"/>
    </xf>
    <xf borderId="0" fillId="0" fontId="28" numFmtId="0" xfId="0" applyAlignment="1" applyFont="1">
      <alignment vertical="bottom"/>
    </xf>
    <xf borderId="0" fillId="0" fontId="23" numFmtId="0" xfId="0" applyAlignment="1" applyFont="1">
      <alignment horizontal="left" readingOrder="0" shrinkToFit="0" vertical="bottom" wrapText="1"/>
    </xf>
    <xf borderId="0" fillId="0" fontId="28" numFmtId="0" xfId="0" applyAlignment="1" applyFont="1">
      <alignment vertical="top"/>
    </xf>
    <xf borderId="0" fillId="3" fontId="23" numFmtId="0" xfId="0" applyAlignment="1" applyFont="1">
      <alignment horizontal="left" readingOrder="0" shrinkToFit="0" vertical="top" wrapText="1"/>
    </xf>
    <xf borderId="0" fillId="0" fontId="31" numFmtId="0" xfId="0" applyAlignment="1" applyFont="1">
      <alignment readingOrder="0" vertical="center"/>
    </xf>
    <xf borderId="0" fillId="0" fontId="32" numFmtId="167" xfId="0" applyAlignment="1" applyFont="1" applyNumberFormat="1">
      <alignment horizontal="left" vertical="center"/>
    </xf>
    <xf borderId="0" fillId="0" fontId="1" numFmtId="169" xfId="0" applyAlignment="1" applyFont="1" applyNumberFormat="1">
      <alignment vertical="center"/>
    </xf>
    <xf borderId="0" fillId="0" fontId="31" numFmtId="0" xfId="0" applyAlignment="1" applyFont="1">
      <alignment vertical="top"/>
    </xf>
    <xf borderId="0" fillId="0" fontId="33" numFmtId="0" xfId="0" applyAlignment="1" applyFont="1">
      <alignment horizontal="right" readingOrder="0" vertical="top"/>
    </xf>
    <xf borderId="0" fillId="0" fontId="34" numFmtId="0" xfId="0" applyAlignment="1" applyFont="1">
      <alignment vertical="center"/>
    </xf>
    <xf borderId="12" fillId="0" fontId="35" numFmtId="0" xfId="0" applyAlignment="1" applyBorder="1" applyFont="1">
      <alignment readingOrder="0" vertical="center"/>
    </xf>
    <xf borderId="12" fillId="0" fontId="36" numFmtId="167" xfId="0" applyAlignment="1" applyBorder="1" applyFont="1" applyNumberFormat="1">
      <alignment horizontal="right" vertical="center"/>
    </xf>
    <xf borderId="12" fillId="0" fontId="36" numFmtId="9" xfId="0" applyAlignment="1" applyBorder="1" applyFont="1" applyNumberFormat="1">
      <alignment horizontal="right" vertical="center"/>
    </xf>
    <xf borderId="0" fillId="0" fontId="25" numFmtId="0" xfId="0" applyAlignment="1" applyFont="1">
      <alignment readingOrder="0" vertical="center"/>
    </xf>
    <xf borderId="0" fillId="0" fontId="7" numFmtId="167" xfId="0" applyAlignment="1" applyFont="1" applyNumberFormat="1">
      <alignment horizontal="right" readingOrder="0"/>
    </xf>
    <xf borderId="0" fillId="0" fontId="37" numFmtId="167" xfId="0" applyAlignment="1" applyFont="1" applyNumberFormat="1">
      <alignment horizontal="right"/>
    </xf>
    <xf borderId="0" fillId="0" fontId="37" numFmtId="9" xfId="0" applyAlignment="1" applyFont="1" applyNumberFormat="1">
      <alignment horizontal="right" vertical="center"/>
    </xf>
    <xf borderId="13" fillId="0" fontId="25" numFmtId="0" xfId="0" applyAlignment="1" applyBorder="1" applyFont="1">
      <alignment readingOrder="0" vertical="center"/>
    </xf>
    <xf borderId="13" fillId="0" fontId="7" numFmtId="167" xfId="0" applyAlignment="1" applyBorder="1" applyFont="1" applyNumberFormat="1">
      <alignment horizontal="right" readingOrder="0"/>
    </xf>
    <xf borderId="13" fillId="0" fontId="37" numFmtId="167" xfId="0" applyAlignment="1" applyBorder="1" applyFont="1" applyNumberFormat="1">
      <alignment horizontal="right"/>
    </xf>
    <xf borderId="13" fillId="0" fontId="37" numFmtId="9" xfId="0" applyAlignment="1" applyBorder="1" applyFont="1" applyNumberFormat="1">
      <alignment horizontal="right" vertical="center"/>
    </xf>
    <xf borderId="0" fillId="0" fontId="7" numFmtId="169" xfId="0" applyAlignment="1" applyFont="1" applyNumberFormat="1">
      <alignment horizontal="right" readingOrder="0"/>
    </xf>
    <xf borderId="0" fillId="0" fontId="37" numFmtId="169" xfId="0" applyAlignment="1" applyFont="1" applyNumberFormat="1">
      <alignment horizontal="right"/>
    </xf>
    <xf borderId="0" fillId="0" fontId="37" numFmtId="0" xfId="0" applyAlignment="1" applyFont="1">
      <alignment vertical="center"/>
    </xf>
    <xf borderId="0" fillId="0" fontId="31" numFmtId="0" xfId="0" applyAlignment="1" applyFont="1">
      <alignment vertical="center"/>
    </xf>
    <xf borderId="0" fillId="0" fontId="38" numFmtId="0" xfId="0" applyAlignment="1" applyFont="1">
      <alignment horizontal="left" vertical="bottom"/>
    </xf>
    <xf borderId="0" fillId="0" fontId="39" numFmtId="0" xfId="0" applyAlignment="1" applyFont="1">
      <alignment shrinkToFit="0" vertical="center" wrapText="1"/>
    </xf>
    <xf borderId="0" fillId="0" fontId="23" numFmtId="0" xfId="0" applyAlignment="1" applyFont="1">
      <alignment horizontal="left" readingOrder="0" shrinkToFit="0" vertical="center" wrapText="1"/>
    </xf>
    <xf borderId="0" fillId="0" fontId="40" numFmtId="0" xfId="0" applyAlignment="1" applyFont="1">
      <alignment horizontal="left" vertical="bottom"/>
    </xf>
    <xf borderId="0" fillId="0" fontId="7" numFmtId="0" xfId="0" applyAlignment="1" applyFont="1">
      <alignment vertical="bottom"/>
    </xf>
    <xf borderId="0" fillId="0" fontId="41" numFmtId="0" xfId="0" applyAlignment="1" applyFont="1">
      <alignment horizontal="left" vertical="bottom"/>
    </xf>
    <xf borderId="0" fillId="0" fontId="32" numFmtId="0" xfId="0" applyAlignment="1" applyFont="1">
      <alignment horizontal="right" readingOrder="0" vertical="bottom"/>
    </xf>
    <xf borderId="0" fillId="0" fontId="7" numFmtId="0" xfId="0" applyAlignment="1" applyFont="1">
      <alignment readingOrder="0" vertical="bottom"/>
    </xf>
    <xf borderId="0" fillId="0" fontId="7" numFmtId="167" xfId="0" applyAlignment="1" applyFont="1" applyNumberFormat="1">
      <alignment horizontal="right" vertical="bottom"/>
    </xf>
    <xf borderId="0" fillId="0" fontId="7" numFmtId="167" xfId="0" applyAlignment="1" applyFont="1" applyNumberFormat="1">
      <alignment horizontal="right" readingOrder="0" vertical="bottom"/>
    </xf>
    <xf borderId="14" fillId="0" fontId="7" numFmtId="0" xfId="0" applyAlignment="1" applyBorder="1" applyFont="1">
      <alignment vertical="bottom"/>
    </xf>
    <xf borderId="14" fillId="0" fontId="7" numFmtId="169" xfId="0" applyAlignment="1" applyBorder="1" applyFont="1" applyNumberFormat="1">
      <alignment vertical="bottom"/>
    </xf>
    <xf borderId="0" fillId="0" fontId="23" numFmtId="0" xfId="0" applyAlignment="1" applyFont="1">
      <alignment horizontal="right" readingOrder="0" vertical="bottom"/>
    </xf>
    <xf borderId="0" fillId="0" fontId="34" numFmtId="0" xfId="0" applyAlignment="1" applyFont="1">
      <alignment vertical="bottom"/>
    </xf>
    <xf borderId="0" fillId="0" fontId="34" numFmtId="167" xfId="0" applyAlignment="1" applyFont="1" applyNumberFormat="1">
      <alignment horizontal="right" vertical="bottom"/>
    </xf>
    <xf borderId="0" fillId="0" fontId="42" numFmtId="167" xfId="0" applyAlignment="1" applyFont="1" applyNumberFormat="1">
      <alignment horizontal="right" vertical="bottom"/>
    </xf>
    <xf borderId="0" fillId="0" fontId="34" numFmtId="167" xfId="0" applyAlignment="1" applyFont="1" applyNumberFormat="1">
      <alignment horizontal="right" vertical="bottom"/>
    </xf>
    <xf borderId="0" fillId="0" fontId="42" numFmtId="167" xfId="0" applyAlignment="1" applyFont="1" applyNumberFormat="1">
      <alignment horizontal="right" vertical="bottom"/>
    </xf>
    <xf borderId="0" fillId="0" fontId="7" numFmtId="167" xfId="0" applyAlignment="1" applyFont="1" applyNumberFormat="1">
      <alignment horizontal="right" vertical="bottom"/>
    </xf>
    <xf borderId="0" fillId="0" fontId="7" numFmtId="167" xfId="0" applyAlignment="1" applyFont="1" applyNumberFormat="1">
      <alignment readingOrder="0" vertical="bottom"/>
    </xf>
    <xf borderId="0" fillId="0" fontId="43" numFmtId="0" xfId="0" applyAlignment="1" applyFont="1">
      <alignment vertical="bottom"/>
    </xf>
    <xf borderId="0" fillId="0" fontId="28" numFmtId="169" xfId="0" applyAlignment="1" applyFont="1" applyNumberFormat="1">
      <alignment vertical="bottom"/>
    </xf>
    <xf borderId="0" fillId="0" fontId="7" numFmtId="167" xfId="0" applyAlignment="1" applyFont="1" applyNumberFormat="1">
      <alignment horizontal="right" readingOrder="0" vertical="bottom"/>
    </xf>
    <xf borderId="0" fillId="7" fontId="1" numFmtId="0" xfId="0" applyAlignment="1" applyFill="1" applyFont="1">
      <alignment vertical="bottom"/>
    </xf>
    <xf borderId="0" fillId="0" fontId="44" numFmtId="0" xfId="0" applyAlignment="1" applyFont="1">
      <alignment horizontal="left" readingOrder="0" vertical="bottom"/>
    </xf>
    <xf borderId="0" fillId="0" fontId="45" numFmtId="0" xfId="0" applyAlignment="1" applyFont="1">
      <alignment vertical="center"/>
    </xf>
    <xf borderId="0" fillId="0" fontId="46" numFmtId="0" xfId="0" applyAlignment="1" applyFont="1">
      <alignment horizontal="left" readingOrder="0" vertical="center"/>
    </xf>
    <xf borderId="0" fillId="0" fontId="46" numFmtId="0" xfId="0" applyAlignment="1" applyFont="1">
      <alignment horizontal="left" vertical="center"/>
    </xf>
    <xf borderId="0" fillId="0" fontId="46" numFmtId="0" xfId="0" applyAlignment="1" applyFont="1">
      <alignment horizontal="center" readingOrder="0" vertical="center"/>
    </xf>
    <xf borderId="0" fillId="0" fontId="46" numFmtId="0" xfId="0" applyAlignment="1" applyFont="1">
      <alignment horizontal="center" vertical="center"/>
    </xf>
    <xf borderId="0" fillId="0" fontId="1" numFmtId="0" xfId="0" applyAlignment="1" applyFont="1">
      <alignment shrinkToFit="0" vertical="center" wrapText="1"/>
    </xf>
    <xf borderId="15" fillId="8" fontId="47" numFmtId="0" xfId="0" applyAlignment="1" applyBorder="1" applyFill="1" applyFont="1">
      <alignment horizontal="left" readingOrder="0" shrinkToFit="0" vertical="center" wrapText="1"/>
    </xf>
    <xf borderId="15" fillId="8" fontId="48" numFmtId="0" xfId="0" applyAlignment="1" applyBorder="1" applyFont="1">
      <alignment horizontal="left" readingOrder="0" shrinkToFit="0" vertical="center" wrapText="1"/>
    </xf>
    <xf borderId="16" fillId="8" fontId="47" numFmtId="0" xfId="0" applyAlignment="1" applyBorder="1" applyFont="1">
      <alignment horizontal="center" readingOrder="0" shrinkToFit="0" vertical="center" wrapText="1"/>
    </xf>
    <xf borderId="15" fillId="8" fontId="47" numFmtId="0" xfId="0" applyAlignment="1" applyBorder="1" applyFont="1">
      <alignment horizontal="center" readingOrder="0" shrinkToFit="0" vertical="center" wrapText="1"/>
    </xf>
    <xf borderId="16" fillId="8" fontId="47" numFmtId="0" xfId="0" applyAlignment="1" applyBorder="1" applyFont="1">
      <alignment horizontal="left" readingOrder="0" shrinkToFit="0" vertical="center" wrapText="1"/>
    </xf>
    <xf borderId="17" fillId="0" fontId="49" numFmtId="0" xfId="0" applyAlignment="1" applyBorder="1" applyFont="1">
      <alignment horizontal="left" readingOrder="0" shrinkToFit="0" vertical="center" wrapText="0"/>
    </xf>
    <xf borderId="17" fillId="0" fontId="50" numFmtId="0" xfId="0" applyAlignment="1" applyBorder="1" applyFont="1">
      <alignment horizontal="left" readingOrder="0" shrinkToFit="0" vertical="center" wrapText="0"/>
    </xf>
    <xf borderId="17" fillId="0" fontId="50" numFmtId="0" xfId="0" applyAlignment="1" applyBorder="1" applyFont="1">
      <alignment horizontal="left" shrinkToFit="0" vertical="center" wrapText="0"/>
    </xf>
    <xf borderId="18" fillId="0" fontId="50" numFmtId="0" xfId="0" applyAlignment="1" applyBorder="1" applyFont="1">
      <alignment horizontal="center" readingOrder="0" vertical="center"/>
    </xf>
    <xf borderId="19" fillId="0" fontId="50" numFmtId="0" xfId="0" applyAlignment="1" applyBorder="1" applyFont="1">
      <alignment horizontal="center" readingOrder="0" vertical="center"/>
    </xf>
    <xf borderId="17" fillId="0" fontId="50" numFmtId="0" xfId="0" applyAlignment="1" applyBorder="1" applyFont="1">
      <alignment horizontal="center" readingOrder="0" vertical="center"/>
    </xf>
    <xf borderId="17" fillId="0" fontId="50" numFmtId="0" xfId="0" applyAlignment="1" applyBorder="1" applyFont="1">
      <alignment horizontal="center" vertical="center"/>
    </xf>
    <xf borderId="18" fillId="0" fontId="50" numFmtId="0" xfId="0" applyAlignment="1" applyBorder="1" applyFont="1">
      <alignment horizontal="center" vertical="center"/>
    </xf>
    <xf borderId="19" fillId="0" fontId="50" numFmtId="0" xfId="0" applyAlignment="1" applyBorder="1" applyFont="1">
      <alignment horizontal="center" vertical="center"/>
    </xf>
    <xf borderId="17" fillId="0" fontId="51" numFmtId="0" xfId="0" applyAlignment="1" applyBorder="1" applyFont="1">
      <alignment horizontal="left" readingOrder="0" shrinkToFit="0" vertical="center" wrapText="1"/>
    </xf>
    <xf borderId="20" fillId="0" fontId="49" numFmtId="0" xfId="0" applyAlignment="1" applyBorder="1" applyFont="1">
      <alignment horizontal="left" readingOrder="0" shrinkToFit="0" vertical="center" wrapText="0"/>
    </xf>
    <xf borderId="20" fillId="0" fontId="50" numFmtId="0" xfId="0" applyAlignment="1" applyBorder="1" applyFont="1">
      <alignment horizontal="left" shrinkToFit="0" vertical="center" wrapText="0"/>
    </xf>
    <xf borderId="21" fillId="0" fontId="50" numFmtId="0" xfId="0" applyAlignment="1" applyBorder="1" applyFont="1">
      <alignment horizontal="center" vertical="center"/>
    </xf>
    <xf borderId="22" fillId="0" fontId="50" numFmtId="0" xfId="0" applyAlignment="1" applyBorder="1" applyFont="1">
      <alignment horizontal="center" vertical="center"/>
    </xf>
    <xf borderId="20" fillId="0" fontId="50" numFmtId="0" xfId="0" applyAlignment="1" applyBorder="1" applyFont="1">
      <alignment horizontal="center" readingOrder="0" vertical="center"/>
    </xf>
    <xf borderId="20" fillId="0" fontId="50" numFmtId="0" xfId="0" applyAlignment="1" applyBorder="1" applyFont="1">
      <alignment horizontal="center" vertical="center"/>
    </xf>
    <xf borderId="20" fillId="0" fontId="51" numFmtId="0" xfId="0" applyAlignment="1" applyBorder="1" applyFont="1">
      <alignment horizontal="left" shrinkToFit="0" vertical="center" wrapText="1"/>
    </xf>
    <xf borderId="20" fillId="0" fontId="49" numFmtId="0" xfId="0" applyAlignment="1" applyBorder="1" applyFont="1">
      <alignment horizontal="left" shrinkToFit="0" vertical="center" wrapText="0"/>
    </xf>
    <xf borderId="23" fillId="0" fontId="49" numFmtId="0" xfId="0" applyAlignment="1" applyBorder="1" applyFont="1">
      <alignment horizontal="left" shrinkToFit="0" vertical="center" wrapText="0"/>
    </xf>
    <xf borderId="23" fillId="0" fontId="50" numFmtId="0" xfId="0" applyAlignment="1" applyBorder="1" applyFont="1">
      <alignment horizontal="left" shrinkToFit="0" vertical="center" wrapText="0"/>
    </xf>
    <xf borderId="24" fillId="0" fontId="50" numFmtId="0" xfId="0" applyAlignment="1" applyBorder="1" applyFont="1">
      <alignment horizontal="center" vertical="center"/>
    </xf>
    <xf borderId="25" fillId="0" fontId="50" numFmtId="0" xfId="0" applyAlignment="1" applyBorder="1" applyFont="1">
      <alignment horizontal="center" vertical="center"/>
    </xf>
    <xf borderId="23" fillId="0" fontId="50" numFmtId="0" xfId="0" applyAlignment="1" applyBorder="1" applyFont="1">
      <alignment horizontal="center" vertical="center"/>
    </xf>
    <xf borderId="23" fillId="0" fontId="51" numFmtId="0" xfId="0" applyAlignment="1" applyBorder="1" applyFont="1">
      <alignment horizontal="left" shrinkToFit="0" vertical="center" wrapText="1"/>
    </xf>
    <xf borderId="0" fillId="7" fontId="6" numFmtId="0" xfId="0" applyFont="1"/>
    <xf borderId="0" fillId="0" fontId="44" numFmtId="0" xfId="0" applyAlignment="1" applyFont="1">
      <alignment horizontal="left" readingOrder="0"/>
    </xf>
    <xf borderId="0" fillId="0" fontId="52" numFmtId="0" xfId="0" applyAlignment="1" applyFont="1">
      <alignment horizontal="center" readingOrder="0"/>
    </xf>
    <xf borderId="0" fillId="0" fontId="22" numFmtId="0" xfId="0" applyAlignment="1" applyFont="1">
      <alignment horizontal="right" readingOrder="0" shrinkToFit="0" vertical="center" wrapText="0"/>
    </xf>
    <xf borderId="0" fillId="0" fontId="1" numFmtId="0" xfId="0" applyFont="1"/>
    <xf borderId="0" fillId="0" fontId="53" numFmtId="0" xfId="0" applyAlignment="1" applyFont="1">
      <alignment horizontal="left" readingOrder="0" vertical="center"/>
    </xf>
    <xf borderId="0" fillId="0" fontId="32" numFmtId="0" xfId="0" applyAlignment="1" applyFont="1">
      <alignment horizontal="left" readingOrder="0" vertical="center"/>
    </xf>
    <xf borderId="0" fillId="0" fontId="53" numFmtId="0" xfId="0" applyAlignment="1" applyFont="1">
      <alignment horizontal="right" readingOrder="0" shrinkToFit="0" vertical="center" wrapText="1"/>
    </xf>
    <xf borderId="0" fillId="0" fontId="54" numFmtId="0" xfId="0" applyAlignment="1" applyFont="1">
      <alignment horizontal="center" readingOrder="0"/>
    </xf>
    <xf borderId="8" fillId="0" fontId="55" numFmtId="0" xfId="0" applyBorder="1" applyFont="1"/>
    <xf borderId="0" fillId="0" fontId="56" numFmtId="0" xfId="0" applyAlignment="1" applyFont="1">
      <alignment vertical="center"/>
    </xf>
    <xf borderId="0" fillId="0" fontId="57" numFmtId="0" xfId="0" applyAlignment="1" applyFont="1">
      <alignment readingOrder="0" vertical="center"/>
    </xf>
    <xf borderId="0" fillId="0" fontId="56" numFmtId="0" xfId="0" applyAlignment="1" applyFont="1">
      <alignment horizontal="left" vertical="center"/>
    </xf>
    <xf borderId="0" fillId="0" fontId="58" numFmtId="0" xfId="0" applyAlignment="1" applyFont="1">
      <alignment horizontal="left" readingOrder="0" vertical="center"/>
    </xf>
    <xf borderId="0" fillId="0" fontId="58" numFmtId="0" xfId="0" applyAlignment="1" applyFont="1">
      <alignment horizontal="center" readingOrder="0" vertical="center"/>
    </xf>
    <xf borderId="0" fillId="0" fontId="58" numFmtId="0" xfId="0" applyAlignment="1" applyFont="1">
      <alignment horizontal="right" readingOrder="0" vertical="center"/>
    </xf>
    <xf borderId="0" fillId="0" fontId="1" numFmtId="0" xfId="0" applyAlignment="1" applyFont="1">
      <alignment horizontal="left" vertical="center"/>
    </xf>
    <xf borderId="9" fillId="5" fontId="32" numFmtId="0" xfId="0" applyAlignment="1" applyBorder="1" applyFont="1">
      <alignment horizontal="left" readingOrder="0" vertical="center"/>
    </xf>
    <xf borderId="10" fillId="5" fontId="9" numFmtId="0" xfId="0" applyAlignment="1" applyBorder="1" applyFont="1">
      <alignment horizontal="left" readingOrder="0" vertical="center"/>
    </xf>
    <xf borderId="10" fillId="5" fontId="59" numFmtId="0" xfId="0" applyAlignment="1" applyBorder="1" applyFont="1">
      <alignment horizontal="left" readingOrder="0" vertical="center"/>
    </xf>
    <xf borderId="11" fillId="5" fontId="7" numFmtId="167" xfId="0" applyAlignment="1" applyBorder="1" applyFont="1" applyNumberFormat="1">
      <alignment horizontal="right" readingOrder="0" vertical="center"/>
    </xf>
    <xf borderId="0" fillId="5" fontId="23" numFmtId="167" xfId="0" applyAlignment="1" applyFont="1" applyNumberFormat="1">
      <alignment horizontal="left" readingOrder="0" vertical="center"/>
    </xf>
    <xf borderId="11" fillId="5" fontId="7" numFmtId="167" xfId="0" applyAlignment="1" applyBorder="1" applyFont="1" applyNumberFormat="1">
      <alignment horizontal="right" readingOrder="0" shrinkToFit="0" vertical="center" wrapText="0"/>
    </xf>
    <xf borderId="11" fillId="5" fontId="8" numFmtId="167" xfId="0" applyAlignment="1" applyBorder="1" applyFont="1" applyNumberFormat="1">
      <alignment horizontal="right" readingOrder="0" vertical="center"/>
    </xf>
    <xf borderId="0" fillId="0" fontId="1" numFmtId="0" xfId="0" applyAlignment="1" applyFont="1">
      <alignment horizontal="right" vertical="center"/>
    </xf>
    <xf borderId="9" fillId="0" fontId="32" numFmtId="0" xfId="0" applyAlignment="1" applyBorder="1" applyFont="1">
      <alignment readingOrder="0" vertical="center"/>
    </xf>
    <xf borderId="10" fillId="0" fontId="9" numFmtId="0" xfId="0" applyAlignment="1" applyBorder="1" applyFont="1">
      <alignment horizontal="left" readingOrder="0" vertical="center"/>
    </xf>
    <xf borderId="10" fillId="0" fontId="7" numFmtId="167" xfId="0" applyAlignment="1" applyBorder="1" applyFont="1" applyNumberFormat="1">
      <alignment horizontal="right" readingOrder="0" vertical="center"/>
    </xf>
    <xf borderId="0" fillId="0" fontId="23" numFmtId="167" xfId="0" applyAlignment="1" applyFont="1" applyNumberFormat="1">
      <alignment horizontal="left" readingOrder="0" vertical="center"/>
    </xf>
    <xf borderId="11" fillId="0" fontId="7" numFmtId="167" xfId="0" applyAlignment="1" applyBorder="1" applyFont="1" applyNumberFormat="1">
      <alignment horizontal="right" readingOrder="0" shrinkToFit="0" vertical="center" wrapText="0"/>
    </xf>
    <xf borderId="11" fillId="0" fontId="8" numFmtId="167" xfId="0" applyAlignment="1" applyBorder="1" applyFont="1" applyNumberFormat="1">
      <alignment horizontal="right" readingOrder="0" vertical="center"/>
    </xf>
    <xf borderId="9" fillId="5" fontId="32" numFmtId="0" xfId="0" applyAlignment="1" applyBorder="1" applyFont="1">
      <alignment readingOrder="0" vertical="center"/>
    </xf>
    <xf borderId="10" fillId="0" fontId="9" numFmtId="168" xfId="0" applyAlignment="1" applyBorder="1" applyFont="1" applyNumberFormat="1">
      <alignment horizontal="left" readingOrder="0" vertical="center"/>
    </xf>
    <xf borderId="10" fillId="0" fontId="9" numFmtId="0" xfId="0" applyAlignment="1" applyBorder="1" applyFont="1">
      <alignment horizontal="left" vertical="center"/>
    </xf>
    <xf borderId="11" fillId="0" fontId="7" numFmtId="167" xfId="0" applyAlignment="1" applyBorder="1" applyFont="1" applyNumberFormat="1">
      <alignment horizontal="right" vertical="center"/>
    </xf>
    <xf borderId="11" fillId="0" fontId="7" numFmtId="167" xfId="0" applyAlignment="1" applyBorder="1" applyFont="1" applyNumberFormat="1">
      <alignment horizontal="right" shrinkToFit="0" vertical="center" wrapText="0"/>
    </xf>
    <xf borderId="10" fillId="5" fontId="9" numFmtId="168" xfId="0" applyAlignment="1" applyBorder="1" applyFont="1" applyNumberFormat="1">
      <alignment horizontal="left" readingOrder="0" vertical="center"/>
    </xf>
    <xf borderId="10" fillId="5" fontId="9" numFmtId="0" xfId="0" applyAlignment="1" applyBorder="1" applyFont="1">
      <alignment horizontal="left" vertical="center"/>
    </xf>
    <xf borderId="11" fillId="5" fontId="7" numFmtId="167" xfId="0" applyAlignment="1" applyBorder="1" applyFont="1" applyNumberFormat="1">
      <alignment horizontal="right" vertical="center"/>
    </xf>
    <xf borderId="11" fillId="5" fontId="7" numFmtId="167" xfId="0" applyAlignment="1" applyBorder="1" applyFont="1" applyNumberFormat="1">
      <alignment horizontal="right" shrinkToFit="0" vertical="center" wrapText="0"/>
    </xf>
    <xf borderId="9" fillId="5" fontId="32" numFmtId="0" xfId="0" applyAlignment="1" applyBorder="1" applyFont="1">
      <alignment vertical="center"/>
    </xf>
    <xf borderId="10" fillId="5" fontId="9" numFmtId="168" xfId="0" applyAlignment="1" applyBorder="1" applyFont="1" applyNumberFormat="1">
      <alignment horizontal="left" vertical="center"/>
    </xf>
    <xf borderId="9" fillId="0" fontId="32" numFmtId="0" xfId="0" applyAlignment="1" applyBorder="1" applyFont="1">
      <alignment vertical="center"/>
    </xf>
    <xf borderId="10" fillId="0" fontId="9" numFmtId="168" xfId="0" applyAlignment="1" applyBorder="1" applyFont="1" applyNumberFormat="1">
      <alignment horizontal="left" vertical="center"/>
    </xf>
    <xf borderId="0" fillId="7" fontId="6" numFmtId="0" xfId="0" applyAlignment="1" applyFont="1">
      <alignment horizontal="left"/>
    </xf>
    <xf borderId="0" fillId="0" fontId="23" numFmtId="0" xfId="0" applyAlignment="1" applyFont="1">
      <alignment horizontal="right" readingOrder="0" shrinkToFit="0" vertical="bottom" wrapText="0"/>
    </xf>
    <xf borderId="0" fillId="0" fontId="60" numFmtId="0" xfId="0" applyFont="1"/>
    <xf borderId="0" fillId="0" fontId="60" numFmtId="0" xfId="0" applyAlignment="1" applyFont="1">
      <alignment horizontal="left"/>
    </xf>
    <xf borderId="1" fillId="0" fontId="61" numFmtId="0" xfId="0" applyAlignment="1" applyBorder="1" applyFont="1">
      <alignment readingOrder="0" vertical="center"/>
    </xf>
    <xf borderId="1" fillId="0" fontId="61" numFmtId="0" xfId="0" applyAlignment="1" applyBorder="1" applyFont="1">
      <alignment horizontal="left" readingOrder="0" vertical="center"/>
    </xf>
    <xf borderId="1" fillId="0" fontId="61" numFmtId="0" xfId="0" applyAlignment="1" applyBorder="1" applyFont="1">
      <alignment horizontal="right" readingOrder="0" vertical="center"/>
    </xf>
    <xf borderId="1" fillId="0" fontId="62" numFmtId="0" xfId="0" applyAlignment="1" applyBorder="1" applyFont="1">
      <alignment horizontal="left" readingOrder="0" vertical="center"/>
    </xf>
    <xf borderId="0" fillId="0" fontId="6" numFmtId="0" xfId="0" applyAlignment="1" applyFont="1">
      <alignment vertical="center"/>
    </xf>
    <xf borderId="0" fillId="0" fontId="63" numFmtId="0" xfId="0" applyAlignment="1" applyFont="1">
      <alignment readingOrder="0" vertical="center"/>
    </xf>
    <xf borderId="0" fillId="0" fontId="64" numFmtId="0" xfId="0" applyAlignment="1" applyFont="1">
      <alignment readingOrder="0" vertical="center"/>
    </xf>
    <xf borderId="0" fillId="0" fontId="65" numFmtId="0" xfId="0" applyAlignment="1" applyFont="1">
      <alignment horizontal="left" readingOrder="0" vertical="center"/>
    </xf>
    <xf borderId="0" fillId="0" fontId="63" numFmtId="0" xfId="0" applyAlignment="1" applyFont="1">
      <alignment horizontal="left" readingOrder="0" vertical="center"/>
    </xf>
    <xf borderId="0" fillId="0" fontId="64" numFmtId="0" xfId="0" applyAlignment="1" applyFont="1">
      <alignment horizontal="right" readingOrder="0" shrinkToFit="0" vertical="center" wrapText="0"/>
    </xf>
    <xf borderId="0" fillId="0" fontId="64" numFmtId="0" xfId="0" applyAlignment="1" applyFont="1">
      <alignment horizontal="right" readingOrder="0" vertical="center"/>
    </xf>
    <xf borderId="0" fillId="0" fontId="63" numFmtId="169" xfId="0" applyAlignment="1" applyFont="1" applyNumberFormat="1">
      <alignment horizontal="right" readingOrder="0" vertical="center"/>
    </xf>
    <xf borderId="0" fillId="0" fontId="60" numFmtId="0" xfId="0" applyAlignment="1" applyFont="1">
      <alignment horizontal="right" readingOrder="0" vertical="center"/>
    </xf>
    <xf borderId="0" fillId="0" fontId="66" numFmtId="0" xfId="0" applyAlignment="1" applyFont="1">
      <alignment horizontal="left" readingOrder="0" shrinkToFit="0" vertical="center" wrapText="1"/>
    </xf>
    <xf borderId="0" fillId="0" fontId="6" numFmtId="0" xfId="0" applyAlignment="1" applyFont="1">
      <alignment horizontal="left" vertical="center"/>
    </xf>
    <xf borderId="0" fillId="0" fontId="58" numFmtId="0" xfId="0" applyAlignment="1" applyFont="1">
      <alignment readingOrder="0" vertical="center"/>
    </xf>
    <xf borderId="0" fillId="0" fontId="67" numFmtId="0" xfId="0" applyAlignment="1" applyFont="1">
      <alignment horizontal="left" readingOrder="0" shrinkToFit="0" vertical="center" wrapText="1"/>
    </xf>
    <xf borderId="0" fillId="0" fontId="68" numFmtId="0" xfId="0" applyAlignment="1" applyFont="1">
      <alignment readingOrder="0" vertical="center"/>
    </xf>
    <xf borderId="0" fillId="0" fontId="69" numFmtId="0" xfId="0" applyAlignment="1" applyFont="1">
      <alignment readingOrder="0" vertical="center"/>
    </xf>
    <xf borderId="0" fillId="0" fontId="68" numFmtId="0" xfId="0" applyAlignment="1" applyFont="1">
      <alignment horizontal="right" readingOrder="0" shrinkToFit="0" vertical="center" wrapText="0"/>
    </xf>
    <xf borderId="0" fillId="0" fontId="68" numFmtId="170" xfId="0" applyAlignment="1" applyFont="1" applyNumberFormat="1">
      <alignment horizontal="right" readingOrder="0" vertical="center"/>
    </xf>
    <xf borderId="0" fillId="0" fontId="63" numFmtId="167" xfId="0" applyAlignment="1" applyFont="1" applyNumberFormat="1">
      <alignment horizontal="right" readingOrder="0" vertical="center"/>
    </xf>
    <xf borderId="0" fillId="0" fontId="15" numFmtId="0" xfId="0" applyAlignment="1" applyFont="1">
      <alignment horizontal="right" readingOrder="0" vertical="center"/>
    </xf>
    <xf borderId="0" fillId="0" fontId="23" numFmtId="0" xfId="0" applyAlignment="1" applyFont="1">
      <alignment shrinkToFit="0" vertical="center" wrapText="1"/>
    </xf>
    <xf borderId="0" fillId="0" fontId="64" numFmtId="0" xfId="0" applyAlignment="1" applyFont="1">
      <alignment vertical="center"/>
    </xf>
    <xf borderId="0" fillId="0" fontId="63" numFmtId="0" xfId="0" applyAlignment="1" applyFont="1">
      <alignment horizontal="left" vertical="center"/>
    </xf>
    <xf borderId="0" fillId="0" fontId="64" numFmtId="0" xfId="0" applyAlignment="1" applyFont="1">
      <alignment horizontal="right" shrinkToFit="0" vertical="center" wrapText="0"/>
    </xf>
    <xf borderId="0" fillId="0" fontId="64" numFmtId="170" xfId="0" applyAlignment="1" applyFont="1" applyNumberFormat="1">
      <alignment horizontal="right" vertical="center"/>
    </xf>
    <xf borderId="0" fillId="0" fontId="23" numFmtId="0" xfId="0" applyAlignment="1" applyFont="1">
      <alignment shrinkToFit="0" vertical="center" wrapText="1"/>
    </xf>
    <xf borderId="0" fillId="0" fontId="64" numFmtId="170" xfId="0" applyAlignment="1" applyFont="1" applyNumberFormat="1">
      <alignment horizontal="right" readingOrder="0" vertical="center"/>
    </xf>
    <xf borderId="0" fillId="0" fontId="68" numFmtId="167" xfId="0" applyAlignment="1" applyFont="1" applyNumberFormat="1">
      <alignment horizontal="right" readingOrder="0" vertical="center"/>
    </xf>
    <xf borderId="0" fillId="0" fontId="68" numFmtId="0" xfId="0" applyAlignment="1" applyFont="1">
      <alignment vertical="center"/>
    </xf>
    <xf borderId="0" fillId="0" fontId="68" numFmtId="0" xfId="0" applyAlignment="1" applyFont="1">
      <alignment horizontal="right" shrinkToFit="0" vertical="center" wrapText="0"/>
    </xf>
    <xf borderId="0" fillId="0" fontId="68" numFmtId="167" xfId="0" applyAlignment="1" applyFont="1" applyNumberFormat="1">
      <alignment horizontal="right" vertical="center"/>
    </xf>
    <xf borderId="0" fillId="0" fontId="15" numFmtId="0" xfId="0" applyAlignment="1" applyFont="1">
      <alignment horizontal="left" vertical="center"/>
    </xf>
    <xf borderId="0" fillId="0" fontId="68" numFmtId="171" xfId="0" applyAlignment="1" applyFont="1" applyNumberFormat="1">
      <alignment horizontal="right" vertical="center"/>
    </xf>
    <xf borderId="0" fillId="0" fontId="70" numFmtId="0" xfId="0" applyAlignment="1" applyFont="1">
      <alignment horizontal="right" readingOrder="0" vertical="center"/>
    </xf>
    <xf borderId="0" fillId="7" fontId="63" numFmtId="0" xfId="0" applyFont="1"/>
    <xf borderId="0" fillId="7" fontId="71" numFmtId="0" xfId="0" applyFont="1"/>
    <xf borderId="0" fillId="0" fontId="63" numFmtId="0" xfId="0" applyAlignment="1" applyFont="1">
      <alignment vertical="bottom"/>
    </xf>
    <xf borderId="0" fillId="0" fontId="52" numFmtId="0" xfId="0" applyAlignment="1" applyFont="1">
      <alignment horizontal="center" readingOrder="0" vertical="bottom"/>
    </xf>
    <xf borderId="0" fillId="0" fontId="22" numFmtId="0" xfId="0" applyAlignment="1" applyFont="1">
      <alignment horizontal="right" readingOrder="0" shrinkToFit="0" vertical="bottom" wrapText="0"/>
    </xf>
    <xf borderId="0" fillId="0" fontId="63" numFmtId="0" xfId="0" applyAlignment="1" applyFont="1">
      <alignment vertical="center"/>
    </xf>
    <xf borderId="0" fillId="0" fontId="23" numFmtId="0" xfId="0" applyAlignment="1" applyFont="1">
      <alignment horizontal="left" readingOrder="0" shrinkToFit="0" vertical="center" wrapText="0"/>
    </xf>
    <xf borderId="0" fillId="0" fontId="72" numFmtId="0" xfId="0" applyAlignment="1" applyFont="1">
      <alignment horizontal="center" vertical="center"/>
    </xf>
    <xf borderId="26" fillId="0" fontId="58" numFmtId="0" xfId="0" applyAlignment="1" applyBorder="1" applyFont="1">
      <alignment horizontal="right" readingOrder="0" shrinkToFit="0" vertical="center" wrapText="0"/>
    </xf>
    <xf borderId="27" fillId="0" fontId="66" numFmtId="0" xfId="0" applyAlignment="1" applyBorder="1" applyFont="1">
      <alignment horizontal="center" vertical="center"/>
    </xf>
    <xf borderId="0" fillId="0" fontId="63" numFmtId="0" xfId="0" applyAlignment="1" applyFont="1">
      <alignment horizontal="left" vertical="center"/>
    </xf>
    <xf borderId="0" fillId="0" fontId="73" numFmtId="0" xfId="0" applyAlignment="1" applyFont="1">
      <alignment vertical="center"/>
    </xf>
    <xf borderId="0" fillId="0" fontId="63" numFmtId="0" xfId="0" applyAlignment="1" applyFont="1">
      <alignment horizontal="left" shrinkToFit="0" vertical="center" wrapText="1"/>
    </xf>
    <xf borderId="28" fillId="8" fontId="60" numFmtId="0" xfId="0" applyAlignment="1" applyBorder="1" applyFont="1">
      <alignment horizontal="center" readingOrder="0" shrinkToFit="0" vertical="center" wrapText="1"/>
    </xf>
    <xf borderId="0" fillId="0" fontId="74" numFmtId="0" xfId="0" applyAlignment="1" applyFont="1">
      <alignment horizontal="left" shrinkToFit="0" vertical="center" wrapText="1"/>
    </xf>
    <xf borderId="29" fillId="0" fontId="74" numFmtId="0" xfId="0" applyAlignment="1" applyBorder="1" applyFont="1">
      <alignment horizontal="center" readingOrder="0" shrinkToFit="0" vertical="center" wrapText="1"/>
    </xf>
    <xf borderId="0" fillId="0" fontId="73" numFmtId="0" xfId="0" applyAlignment="1" applyFont="1">
      <alignment horizontal="left" shrinkToFit="0" vertical="center" wrapText="1"/>
    </xf>
    <xf borderId="30" fillId="0" fontId="58" numFmtId="0" xfId="0" applyAlignment="1" applyBorder="1" applyFont="1">
      <alignment horizontal="center" shrinkToFit="0" vertical="center" wrapText="1"/>
    </xf>
    <xf borderId="0" fillId="0" fontId="63" numFmtId="0" xfId="0" applyAlignment="1" applyFont="1">
      <alignment shrinkToFit="0" vertical="bottom" wrapText="1"/>
    </xf>
    <xf borderId="0" fillId="0" fontId="58" numFmtId="0" xfId="0" applyAlignment="1" applyFont="1">
      <alignment readingOrder="0" shrinkToFit="0" vertical="bottom" wrapText="1"/>
    </xf>
    <xf borderId="0" fillId="0" fontId="60" numFmtId="0" xfId="0" applyAlignment="1" applyFont="1">
      <alignment horizontal="left" shrinkToFit="0" vertical="bottom" wrapText="1"/>
    </xf>
    <xf borderId="0" fillId="0" fontId="15" numFmtId="0" xfId="0" applyAlignment="1" applyFont="1">
      <alignment shrinkToFit="0" vertical="bottom" wrapText="1"/>
    </xf>
    <xf borderId="0" fillId="0" fontId="72" numFmtId="0" xfId="0" applyAlignment="1" applyFont="1">
      <alignment horizontal="center" shrinkToFit="0" vertical="bottom" wrapText="1"/>
    </xf>
    <xf borderId="0" fillId="0" fontId="75" numFmtId="0" xfId="0" applyAlignment="1" applyFont="1">
      <alignment horizontal="left" shrinkToFit="0" vertical="bottom" wrapText="1"/>
    </xf>
    <xf borderId="0" fillId="0" fontId="63" numFmtId="0" xfId="0" applyAlignment="1" applyFont="1">
      <alignment horizontal="left" shrinkToFit="0" vertical="bottom" wrapText="1"/>
    </xf>
    <xf borderId="31" fillId="0" fontId="1" numFmtId="0" xfId="0" applyAlignment="1" applyBorder="1" applyFont="1">
      <alignment shrinkToFit="0" vertical="bottom" wrapText="1"/>
    </xf>
    <xf borderId="32" fillId="8" fontId="53" numFmtId="0" xfId="0" applyAlignment="1" applyBorder="1" applyFont="1">
      <alignment horizontal="center" readingOrder="0" shrinkToFit="0" wrapText="1"/>
    </xf>
    <xf borderId="0" fillId="0" fontId="1" numFmtId="0" xfId="0" applyAlignment="1" applyFont="1">
      <alignment shrinkToFit="0" vertical="bottom" wrapText="1"/>
    </xf>
    <xf borderId="33" fillId="0" fontId="1" numFmtId="0" xfId="0" applyAlignment="1" applyBorder="1" applyFont="1">
      <alignment shrinkToFit="0" vertical="bottom" wrapText="1"/>
    </xf>
    <xf borderId="34" fillId="0" fontId="61" numFmtId="0" xfId="0" applyAlignment="1" applyBorder="1" applyFont="1">
      <alignment horizontal="center" shrinkToFit="0" wrapText="1"/>
    </xf>
    <xf borderId="0" fillId="0" fontId="74" numFmtId="0" xfId="0" applyAlignment="1" applyFont="1">
      <alignment horizontal="center" readingOrder="0" shrinkToFit="0" vertical="center" wrapText="1"/>
    </xf>
    <xf borderId="0" fillId="9" fontId="6" numFmtId="0" xfId="0" applyFill="1" applyFont="1"/>
    <xf borderId="0" fillId="0" fontId="76" numFmtId="0" xfId="0" applyAlignment="1" applyFont="1">
      <alignment horizontal="left" readingOrder="0"/>
    </xf>
    <xf borderId="0" fillId="0" fontId="77" numFmtId="0" xfId="0" applyAlignment="1" applyFont="1">
      <alignment horizontal="center" readingOrder="0"/>
    </xf>
    <xf borderId="0" fillId="0" fontId="23" numFmtId="0" xfId="0" applyAlignment="1" applyFont="1">
      <alignment horizontal="right" readingOrder="0"/>
    </xf>
    <xf borderId="8" fillId="0" fontId="6" numFmtId="0" xfId="0" applyBorder="1" applyFont="1"/>
    <xf borderId="8" fillId="0" fontId="6" numFmtId="0" xfId="0" applyAlignment="1" applyBorder="1" applyFont="1">
      <alignment horizontal="left"/>
    </xf>
    <xf borderId="0" fillId="0" fontId="56" numFmtId="0" xfId="0" applyAlignment="1" applyFont="1">
      <alignment readingOrder="0" vertical="center"/>
    </xf>
    <xf borderId="0" fillId="0" fontId="56" numFmtId="0" xfId="0" applyAlignment="1" applyFont="1">
      <alignment horizontal="left" readingOrder="0" vertical="center"/>
    </xf>
    <xf borderId="0" fillId="0" fontId="78" numFmtId="0" xfId="0" applyAlignment="1" applyFont="1">
      <alignment horizontal="left" readingOrder="0" vertical="center"/>
    </xf>
    <xf borderId="0" fillId="0" fontId="78" numFmtId="0" xfId="0" applyAlignment="1" applyFont="1">
      <alignment horizontal="left" readingOrder="0" shrinkToFit="0" vertical="center" wrapText="1"/>
    </xf>
    <xf borderId="0" fillId="0" fontId="79" numFmtId="0" xfId="0" applyAlignment="1" applyFont="1">
      <alignment horizontal="left" readingOrder="0" vertical="center"/>
    </xf>
    <xf borderId="9" fillId="5" fontId="25" numFmtId="0" xfId="0" applyAlignment="1" applyBorder="1" applyFont="1">
      <alignment horizontal="left" readingOrder="0" vertical="center"/>
    </xf>
    <xf borderId="10" fillId="5" fontId="9" numFmtId="167" xfId="0" applyAlignment="1" applyBorder="1" applyFont="1" applyNumberFormat="1">
      <alignment horizontal="left" readingOrder="0" vertical="center"/>
    </xf>
    <xf borderId="10" fillId="5" fontId="9" numFmtId="167" xfId="0" applyAlignment="1" applyBorder="1" applyFont="1" applyNumberFormat="1">
      <alignment horizontal="left" readingOrder="0" shrinkToFit="0" vertical="center" wrapText="0"/>
    </xf>
    <xf borderId="10" fillId="5" fontId="25" numFmtId="0" xfId="0" applyAlignment="1" applyBorder="1" applyFont="1">
      <alignment horizontal="left" readingOrder="0" vertical="center"/>
    </xf>
    <xf borderId="11" fillId="5" fontId="23" numFmtId="0" xfId="0" applyAlignment="1" applyBorder="1" applyFont="1">
      <alignment horizontal="left" readingOrder="0" shrinkToFit="0" vertical="center" wrapText="1"/>
    </xf>
    <xf borderId="9" fillId="0" fontId="25" numFmtId="0" xfId="0" applyAlignment="1" applyBorder="1" applyFont="1">
      <alignment horizontal="left" readingOrder="0" vertical="center"/>
    </xf>
    <xf borderId="10" fillId="0" fontId="9" numFmtId="167" xfId="0" applyAlignment="1" applyBorder="1" applyFont="1" applyNumberFormat="1">
      <alignment horizontal="left" readingOrder="0" vertical="center"/>
    </xf>
    <xf borderId="10" fillId="0" fontId="9" numFmtId="167" xfId="0" applyAlignment="1" applyBorder="1" applyFont="1" applyNumberFormat="1">
      <alignment horizontal="left" readingOrder="0" shrinkToFit="0" vertical="center" wrapText="0"/>
    </xf>
    <xf borderId="10" fillId="0" fontId="25" numFmtId="0" xfId="0" applyAlignment="1" applyBorder="1" applyFont="1">
      <alignment horizontal="left" readingOrder="0" vertical="center"/>
    </xf>
    <xf borderId="11" fillId="0" fontId="23" numFmtId="0" xfId="0" applyAlignment="1" applyBorder="1" applyFont="1">
      <alignment horizontal="left" readingOrder="0" shrinkToFit="0" vertical="center" wrapText="1"/>
    </xf>
    <xf borderId="10" fillId="5" fontId="9" numFmtId="167" xfId="0" applyAlignment="1" applyBorder="1" applyFont="1" applyNumberFormat="1">
      <alignment horizontal="left" vertical="center"/>
    </xf>
    <xf borderId="10" fillId="5" fontId="9" numFmtId="167" xfId="0" applyAlignment="1" applyBorder="1" applyFont="1" applyNumberFormat="1">
      <alignment horizontal="left" shrinkToFit="0" vertical="center" wrapText="0"/>
    </xf>
    <xf borderId="10" fillId="5" fontId="25" numFmtId="0" xfId="0" applyAlignment="1" applyBorder="1" applyFont="1">
      <alignment horizontal="left" vertical="center"/>
    </xf>
    <xf borderId="11" fillId="5" fontId="23" numFmtId="0" xfId="0" applyAlignment="1" applyBorder="1" applyFont="1">
      <alignment horizontal="left" shrinkToFit="0" vertical="center" wrapText="1"/>
    </xf>
    <xf borderId="10" fillId="0" fontId="9" numFmtId="167" xfId="0" applyAlignment="1" applyBorder="1" applyFont="1" applyNumberFormat="1">
      <alignment horizontal="left" vertical="center"/>
    </xf>
    <xf borderId="10" fillId="0" fontId="9" numFmtId="167" xfId="0" applyAlignment="1" applyBorder="1" applyFont="1" applyNumberFormat="1">
      <alignment horizontal="left" shrinkToFit="0" vertical="center" wrapText="0"/>
    </xf>
    <xf borderId="10" fillId="0" fontId="25" numFmtId="0" xfId="0" applyAlignment="1" applyBorder="1" applyFont="1">
      <alignment horizontal="left" vertical="center"/>
    </xf>
    <xf borderId="11" fillId="0" fontId="23" numFmtId="0" xfId="0" applyAlignment="1" applyBorder="1" applyFont="1">
      <alignment horizontal="left" shrinkToFit="0" vertical="center" wrapText="1"/>
    </xf>
    <xf borderId="9" fillId="5" fontId="25" numFmtId="0" xfId="0" applyAlignment="1" applyBorder="1" applyFont="1">
      <alignment horizontal="left" vertical="center"/>
    </xf>
    <xf borderId="10" fillId="0" fontId="25" numFmtId="0" xfId="0" applyAlignment="1" applyBorder="1" applyFont="1">
      <alignment horizontal="left" readingOrder="0" vertical="center"/>
    </xf>
    <xf borderId="11" fillId="0" fontId="23" numFmtId="0" xfId="0" applyAlignment="1" applyBorder="1" applyFont="1">
      <alignment horizontal="left" readingOrder="0" shrinkToFit="0" vertical="center" wrapText="1"/>
    </xf>
    <xf borderId="9" fillId="0" fontId="25" numFmtId="0" xfId="0" applyAlignment="1" applyBorder="1" applyFont="1">
      <alignment horizontal="left" vertical="center"/>
    </xf>
    <xf borderId="0" fillId="0" fontId="80" numFmtId="0" xfId="0" applyAlignment="1" applyFont="1">
      <alignment vertical="bottom"/>
    </xf>
    <xf borderId="0" fillId="0" fontId="76" numFmtId="0" xfId="0" applyAlignment="1" applyFont="1">
      <alignment horizontal="left" readingOrder="0" vertical="bottom"/>
    </xf>
    <xf borderId="0" fillId="0" fontId="81" numFmtId="0" xfId="0" applyAlignment="1" applyFont="1">
      <alignment horizontal="center" readingOrder="0" vertical="bottom"/>
    </xf>
    <xf borderId="0" fillId="0" fontId="80" numFmtId="0" xfId="0" applyFont="1"/>
    <xf borderId="8" fillId="0" fontId="80" numFmtId="0" xfId="0" applyBorder="1" applyFont="1"/>
    <xf borderId="0" fillId="0" fontId="82" numFmtId="0" xfId="0" applyAlignment="1" applyFont="1">
      <alignment vertical="center"/>
    </xf>
    <xf borderId="0" fillId="0" fontId="82" numFmtId="0" xfId="0" applyAlignment="1" applyFont="1">
      <alignment readingOrder="0" vertical="center"/>
    </xf>
    <xf borderId="0" fillId="0" fontId="78" numFmtId="0" xfId="0" applyAlignment="1" applyFont="1">
      <alignment vertical="center"/>
    </xf>
    <xf borderId="0" fillId="0" fontId="78" numFmtId="0" xfId="0" applyAlignment="1" applyFont="1">
      <alignment readingOrder="0" vertical="center"/>
    </xf>
    <xf borderId="0" fillId="0" fontId="78" numFmtId="0" xfId="0" applyAlignment="1" applyFont="1">
      <alignment horizontal="center" readingOrder="0" vertical="center"/>
    </xf>
    <xf borderId="0" fillId="0" fontId="79" numFmtId="0" xfId="0" applyAlignment="1" applyFont="1">
      <alignment readingOrder="0" vertical="center"/>
    </xf>
    <xf borderId="9" fillId="5" fontId="25" numFmtId="0" xfId="0" applyAlignment="1" applyBorder="1" applyFont="1">
      <alignment horizontal="left" readingOrder="0" shrinkToFit="0" vertical="center" wrapText="0"/>
    </xf>
    <xf borderId="10" fillId="5" fontId="9" numFmtId="0" xfId="0" applyAlignment="1" applyBorder="1" applyFont="1">
      <alignment readingOrder="0" vertical="center"/>
    </xf>
    <xf borderId="10" fillId="5" fontId="9" numFmtId="0" xfId="0" applyAlignment="1" applyBorder="1" applyFont="1">
      <alignment readingOrder="0" shrinkToFit="0" vertical="center" wrapText="0"/>
    </xf>
    <xf borderId="10" fillId="5" fontId="7" numFmtId="0" xfId="0" applyAlignment="1" applyBorder="1" applyFont="1">
      <alignment horizontal="center" readingOrder="0" vertical="center"/>
    </xf>
    <xf borderId="10" fillId="5" fontId="7" numFmtId="167" xfId="0" applyAlignment="1" applyBorder="1" applyFont="1" applyNumberFormat="1">
      <alignment horizontal="center" readingOrder="0" vertical="center"/>
    </xf>
    <xf borderId="0" fillId="0" fontId="9" numFmtId="0" xfId="0" applyAlignment="1" applyFont="1">
      <alignment horizontal="left" vertical="center"/>
    </xf>
    <xf borderId="9" fillId="0" fontId="25" numFmtId="0" xfId="0" applyAlignment="1" applyBorder="1" applyFont="1">
      <alignment horizontal="left" readingOrder="0" shrinkToFit="0" vertical="center" wrapText="0"/>
    </xf>
    <xf borderId="9" fillId="0" fontId="9" numFmtId="168" xfId="0" applyAlignment="1" applyBorder="1" applyFont="1" applyNumberFormat="1">
      <alignment horizontal="left" readingOrder="0" vertical="center"/>
    </xf>
    <xf borderId="10" fillId="0" fontId="9" numFmtId="0" xfId="0" applyAlignment="1" applyBorder="1" applyFont="1">
      <alignment readingOrder="0" vertical="center"/>
    </xf>
    <xf borderId="10" fillId="0" fontId="9" numFmtId="0" xfId="0" applyAlignment="1" applyBorder="1" applyFont="1">
      <alignment readingOrder="0" shrinkToFit="0" vertical="center" wrapText="0"/>
    </xf>
    <xf borderId="10" fillId="0" fontId="7" numFmtId="0" xfId="0" applyAlignment="1" applyBorder="1" applyFont="1">
      <alignment horizontal="center" readingOrder="0" vertical="center"/>
    </xf>
    <xf borderId="10" fillId="0" fontId="7" numFmtId="167" xfId="0" applyAlignment="1" applyBorder="1" applyFont="1" applyNumberFormat="1">
      <alignment horizontal="center" readingOrder="0" vertical="center"/>
    </xf>
    <xf borderId="9" fillId="5" fontId="9" numFmtId="168" xfId="0" applyAlignment="1" applyBorder="1" applyFont="1" applyNumberFormat="1">
      <alignment horizontal="left" readingOrder="0" vertical="center"/>
    </xf>
    <xf borderId="10" fillId="5" fontId="9" numFmtId="0" xfId="0" applyAlignment="1" applyBorder="1" applyFont="1">
      <alignment vertical="center"/>
    </xf>
    <xf borderId="10" fillId="5" fontId="9" numFmtId="0" xfId="0" applyAlignment="1" applyBorder="1" applyFont="1">
      <alignment shrinkToFit="0" vertical="center" wrapText="0"/>
    </xf>
    <xf borderId="10" fillId="5" fontId="7" numFmtId="0" xfId="0" applyAlignment="1" applyBorder="1" applyFont="1">
      <alignment horizontal="center" vertical="center"/>
    </xf>
    <xf borderId="10" fillId="5" fontId="7" numFmtId="167" xfId="0" applyAlignment="1" applyBorder="1" applyFont="1" applyNumberFormat="1">
      <alignment horizontal="center" vertical="center"/>
    </xf>
    <xf borderId="10" fillId="0" fontId="9" numFmtId="0" xfId="0" applyAlignment="1" applyBorder="1" applyFont="1">
      <alignment vertical="center"/>
    </xf>
    <xf borderId="10" fillId="0" fontId="9" numFmtId="0" xfId="0" applyAlignment="1" applyBorder="1" applyFont="1">
      <alignment shrinkToFit="0" vertical="center" wrapText="0"/>
    </xf>
    <xf borderId="10" fillId="0" fontId="7" numFmtId="0" xfId="0" applyAlignment="1" applyBorder="1" applyFont="1">
      <alignment horizontal="center" readingOrder="0" vertical="center"/>
    </xf>
    <xf borderId="10" fillId="0" fontId="7" numFmtId="0" xfId="0" applyAlignment="1" applyBorder="1" applyFont="1">
      <alignment horizontal="center" vertical="center"/>
    </xf>
    <xf borderId="10" fillId="0" fontId="7" numFmtId="167" xfId="0" applyAlignment="1" applyBorder="1" applyFont="1" applyNumberFormat="1">
      <alignment horizontal="center" vertical="center"/>
    </xf>
    <xf borderId="0" fillId="4" fontId="6" numFmtId="0" xfId="0" applyFont="1"/>
    <xf borderId="0" fillId="0" fontId="16" numFmtId="0" xfId="0" applyAlignment="1" applyFont="1">
      <alignment horizontal="left" readingOrder="0"/>
    </xf>
    <xf borderId="0" fillId="0" fontId="83" numFmtId="0" xfId="0" applyAlignment="1" applyFont="1">
      <alignment horizontal="center" readingOrder="0"/>
    </xf>
    <xf borderId="0" fillId="0" fontId="24" numFmtId="0" xfId="0" applyAlignment="1" applyFont="1">
      <alignment horizontal="left" readingOrder="0" vertical="center"/>
    </xf>
    <xf borderId="0" fillId="0" fontId="24" numFmtId="0" xfId="0" applyAlignment="1" applyFont="1">
      <alignment horizontal="right" readingOrder="0" vertical="center"/>
    </xf>
    <xf borderId="0" fillId="0" fontId="1" numFmtId="0" xfId="0" applyAlignment="1" applyFont="1">
      <alignment horizontal="center" readingOrder="0" vertical="center"/>
    </xf>
    <xf borderId="0" fillId="0" fontId="1" numFmtId="0" xfId="0" applyAlignment="1" applyFont="1">
      <alignment horizontal="right" readingOrder="0" vertical="top"/>
    </xf>
    <xf borderId="0" fillId="0" fontId="1" numFmtId="0" xfId="0" applyAlignment="1" applyFont="1">
      <alignment horizontal="right" readingOrder="0" vertical="center"/>
    </xf>
    <xf borderId="0" fillId="0" fontId="45" numFmtId="0" xfId="0" applyAlignment="1" applyFont="1">
      <alignment horizontal="left" readingOrder="0" vertical="center"/>
    </xf>
    <xf borderId="0" fillId="0" fontId="56" numFmtId="0" xfId="0" applyAlignment="1" applyFont="1">
      <alignment vertical="bottom"/>
    </xf>
    <xf borderId="0" fillId="0" fontId="45" numFmtId="0" xfId="0" applyAlignment="1" applyFont="1">
      <alignment vertical="bottom"/>
    </xf>
    <xf borderId="0" fillId="0" fontId="84" numFmtId="0" xfId="0" applyAlignment="1" applyFont="1">
      <alignment horizontal="center" readingOrder="0" vertical="bottom"/>
    </xf>
    <xf borderId="0" fillId="0" fontId="56" numFmtId="0" xfId="0" applyAlignment="1" applyFont="1">
      <alignment horizontal="right" readingOrder="0" vertical="bottom"/>
    </xf>
    <xf borderId="0" fillId="0" fontId="85" numFmtId="0" xfId="0" applyAlignment="1" applyFont="1">
      <alignment readingOrder="0" vertical="bottom"/>
    </xf>
    <xf borderId="0" fillId="0" fontId="86" numFmtId="0" xfId="0" applyAlignment="1" applyFont="1">
      <alignment vertical="top"/>
    </xf>
    <xf borderId="1" fillId="0" fontId="84" numFmtId="0" xfId="0" applyAlignment="1" applyBorder="1" applyFont="1">
      <alignment readingOrder="0" vertical="top"/>
    </xf>
    <xf borderId="1" fillId="0" fontId="84" numFmtId="0" xfId="0" applyAlignment="1" applyBorder="1" applyFont="1">
      <alignment readingOrder="0" shrinkToFit="0" vertical="top" wrapText="0"/>
    </xf>
    <xf borderId="35" fillId="0" fontId="24" numFmtId="0" xfId="0" applyAlignment="1" applyBorder="1" applyFont="1">
      <alignment horizontal="right" readingOrder="0" vertical="top"/>
    </xf>
    <xf borderId="1" fillId="0" fontId="24" numFmtId="0" xfId="0" applyAlignment="1" applyBorder="1" applyFont="1">
      <alignment horizontal="right" readingOrder="0" vertical="top"/>
    </xf>
    <xf borderId="36" fillId="0" fontId="24" numFmtId="0" xfId="0" applyAlignment="1" applyBorder="1" applyFont="1">
      <alignment vertical="top"/>
    </xf>
    <xf borderId="1" fillId="0" fontId="87" numFmtId="0" xfId="0" applyAlignment="1" applyBorder="1" applyFont="1">
      <alignment horizontal="right" readingOrder="0" vertical="center"/>
    </xf>
    <xf borderId="35" fillId="0" fontId="84" numFmtId="0" xfId="0" applyAlignment="1" applyBorder="1" applyFont="1">
      <alignment horizontal="right" readingOrder="0" vertical="bottom"/>
    </xf>
    <xf borderId="1" fillId="0" fontId="84" numFmtId="0" xfId="0" applyAlignment="1" applyBorder="1" applyFont="1">
      <alignment horizontal="right" readingOrder="0" vertical="bottom"/>
    </xf>
    <xf borderId="1" fillId="0" fontId="88" numFmtId="0" xfId="0" applyAlignment="1" applyBorder="1" applyFont="1">
      <alignment readingOrder="0" vertical="bottom"/>
    </xf>
    <xf borderId="37" fillId="0" fontId="72" numFmtId="0" xfId="0" applyAlignment="1" applyBorder="1" applyFont="1">
      <alignment readingOrder="0" vertical="center"/>
    </xf>
    <xf borderId="38" fillId="0" fontId="68" numFmtId="0" xfId="0" applyAlignment="1" applyBorder="1" applyFont="1">
      <alignment horizontal="left" readingOrder="0" vertical="center"/>
    </xf>
    <xf borderId="38" fillId="0" fontId="68" numFmtId="0" xfId="0" applyAlignment="1" applyBorder="1" applyFont="1">
      <alignment readingOrder="0" shrinkToFit="0" vertical="center" wrapText="0"/>
    </xf>
    <xf borderId="39" fillId="0" fontId="89" numFmtId="0" xfId="0" applyAlignment="1" applyBorder="1" applyFont="1">
      <alignment horizontal="left" readingOrder="0" shrinkToFit="0" vertical="center" wrapText="0"/>
    </xf>
    <xf borderId="8" fillId="0" fontId="28" numFmtId="0" xfId="0" applyAlignment="1" applyBorder="1" applyFont="1">
      <alignment horizontal="left" readingOrder="0" vertical="center"/>
    </xf>
    <xf borderId="40" fillId="0" fontId="9" numFmtId="167" xfId="0" applyAlignment="1" applyBorder="1" applyFont="1" applyNumberFormat="1">
      <alignment horizontal="right" readingOrder="0" vertical="center"/>
    </xf>
    <xf borderId="8" fillId="0" fontId="15" numFmtId="167" xfId="0" applyAlignment="1" applyBorder="1" applyFont="1" applyNumberFormat="1">
      <alignment horizontal="right" readingOrder="0" shrinkToFit="0" vertical="center" wrapText="0"/>
    </xf>
    <xf borderId="8" fillId="0" fontId="90" numFmtId="167" xfId="0" applyAlignment="1" applyBorder="1" applyFont="1" applyNumberFormat="1">
      <alignment horizontal="right" readingOrder="0" shrinkToFit="0" vertical="center" wrapText="0"/>
    </xf>
    <xf borderId="41" fillId="0" fontId="75" numFmtId="167" xfId="0" applyAlignment="1" applyBorder="1" applyFont="1" applyNumberFormat="1">
      <alignment horizontal="right" readingOrder="0" shrinkToFit="0" vertical="center" wrapText="0"/>
    </xf>
    <xf borderId="8" fillId="0" fontId="75" numFmtId="167" xfId="0" applyAlignment="1" applyBorder="1" applyFont="1" applyNumberFormat="1">
      <alignment horizontal="right" readingOrder="0" shrinkToFit="0" vertical="center" wrapText="0"/>
    </xf>
    <xf borderId="40" fillId="0" fontId="15" numFmtId="167" xfId="0" applyAlignment="1" applyBorder="1" applyFont="1" applyNumberFormat="1">
      <alignment horizontal="right" readingOrder="0" vertical="center"/>
    </xf>
    <xf borderId="8" fillId="0" fontId="91" numFmtId="167" xfId="0" applyAlignment="1" applyBorder="1" applyFont="1" applyNumberFormat="1">
      <alignment horizontal="right" readingOrder="0" vertical="center"/>
    </xf>
    <xf borderId="8" fillId="0" fontId="72" numFmtId="169" xfId="0" applyAlignment="1" applyBorder="1" applyFont="1" applyNumberFormat="1">
      <alignment horizontal="right" readingOrder="0" vertical="center"/>
    </xf>
    <xf borderId="8" fillId="0" fontId="67" numFmtId="0" xfId="0" applyAlignment="1" applyBorder="1" applyFont="1">
      <alignment horizontal="left" readingOrder="0" shrinkToFit="0" vertical="center" wrapText="1"/>
    </xf>
    <xf borderId="39" fillId="0" fontId="28" numFmtId="0" xfId="0" applyAlignment="1" applyBorder="1" applyFont="1">
      <alignment horizontal="left" readingOrder="0" shrinkToFit="0" vertical="center" wrapText="0"/>
    </xf>
    <xf borderId="9" fillId="0" fontId="6" numFmtId="0" xfId="0" applyAlignment="1" applyBorder="1" applyFont="1">
      <alignment vertical="center"/>
    </xf>
    <xf borderId="10" fillId="0" fontId="6" numFmtId="168" xfId="0" applyAlignment="1" applyBorder="1" applyFont="1" applyNumberFormat="1">
      <alignment horizontal="left" vertical="center"/>
    </xf>
    <xf borderId="10" fillId="0" fontId="6" numFmtId="0" xfId="0" applyAlignment="1" applyBorder="1" applyFont="1">
      <alignment shrinkToFit="0" vertical="center" wrapText="0"/>
    </xf>
    <xf borderId="10" fillId="0" fontId="6" numFmtId="0" xfId="0" applyAlignment="1" applyBorder="1" applyFont="1">
      <alignment vertical="center"/>
    </xf>
    <xf borderId="11" fillId="0" fontId="6" numFmtId="169" xfId="0" applyAlignment="1" applyBorder="1" applyFont="1" applyNumberFormat="1">
      <alignment horizontal="left" shrinkToFit="0" vertical="center" wrapText="0"/>
    </xf>
    <xf borderId="9" fillId="0" fontId="92" numFmtId="169" xfId="0" applyAlignment="1" applyBorder="1" applyFont="1" applyNumberFormat="1">
      <alignment horizontal="left" readingOrder="0" shrinkToFit="0" vertical="center" wrapText="0"/>
    </xf>
    <xf borderId="0" fillId="0" fontId="92" numFmtId="169" xfId="0" applyAlignment="1" applyFont="1" applyNumberFormat="1">
      <alignment horizontal="left" readingOrder="0" shrinkToFit="0" vertical="center" wrapText="0"/>
    </xf>
    <xf borderId="11" fillId="0" fontId="6" numFmtId="169" xfId="0" applyAlignment="1" applyBorder="1" applyFont="1" applyNumberFormat="1">
      <alignment horizontal="right" shrinkToFit="0" vertical="center" wrapText="0"/>
    </xf>
    <xf borderId="9" fillId="0" fontId="92" numFmtId="169" xfId="0" applyAlignment="1" applyBorder="1" applyFont="1" applyNumberFormat="1">
      <alignment horizontal="right" readingOrder="0" shrinkToFit="0" vertical="center" wrapText="0"/>
    </xf>
    <xf borderId="10" fillId="0" fontId="6" numFmtId="169" xfId="0" applyAlignment="1" applyBorder="1" applyFont="1" applyNumberFormat="1">
      <alignment horizontal="left" vertical="center"/>
    </xf>
    <xf borderId="11" fillId="0" fontId="6" numFmtId="169" xfId="0" applyAlignment="1" applyBorder="1" applyFont="1" applyNumberFormat="1">
      <alignment horizontal="left" readingOrder="0" vertical="center"/>
    </xf>
    <xf borderId="0" fillId="0" fontId="6" numFmtId="169" xfId="0" applyAlignment="1" applyFont="1" applyNumberFormat="1">
      <alignment horizontal="left" readingOrder="0" vertical="center"/>
    </xf>
    <xf borderId="11" fillId="0" fontId="92" numFmtId="0" xfId="0" applyAlignment="1" applyBorder="1" applyFont="1">
      <alignment horizontal="left" shrinkToFit="0" vertical="center" wrapText="1"/>
    </xf>
    <xf borderId="0" fillId="0" fontId="85" numFmtId="0" xfId="0" applyAlignment="1" applyFont="1">
      <alignment readingOrder="0" shrinkToFit="0" vertical="bottom" wrapText="1"/>
    </xf>
    <xf borderId="36" fillId="0" fontId="24" numFmtId="0" xfId="0" applyAlignment="1" applyBorder="1" applyFont="1">
      <alignment horizontal="right" vertical="top"/>
    </xf>
    <xf borderId="36" fillId="0" fontId="87" numFmtId="0" xfId="0" applyAlignment="1" applyBorder="1" applyFont="1">
      <alignment horizontal="right" readingOrder="0" vertical="top"/>
    </xf>
    <xf borderId="1" fillId="0" fontId="84" numFmtId="0" xfId="0" applyAlignment="1" applyBorder="1" applyFont="1">
      <alignment horizontal="right" readingOrder="0" vertical="top"/>
    </xf>
    <xf borderId="1" fillId="0" fontId="88" numFmtId="0" xfId="0" applyAlignment="1" applyBorder="1" applyFont="1">
      <alignment readingOrder="0" shrinkToFit="0" vertical="top" wrapText="1"/>
    </xf>
    <xf borderId="17" fillId="0" fontId="72" numFmtId="0" xfId="0" applyAlignment="1" applyBorder="1" applyFont="1">
      <alignment readingOrder="0" vertical="center"/>
    </xf>
    <xf borderId="17" fillId="0" fontId="68" numFmtId="0" xfId="0" applyAlignment="1" applyBorder="1" applyFont="1">
      <alignment readingOrder="0" shrinkToFit="0" vertical="center" wrapText="0"/>
    </xf>
    <xf borderId="17" fillId="0" fontId="93" numFmtId="0" xfId="0" applyAlignment="1" applyBorder="1" applyFont="1">
      <alignment readingOrder="0" shrinkToFit="0" vertical="center" wrapText="0"/>
    </xf>
    <xf borderId="17" fillId="0" fontId="68" numFmtId="0" xfId="0" applyAlignment="1" applyBorder="1" applyFont="1">
      <alignment readingOrder="0" vertical="center"/>
    </xf>
    <xf borderId="42" fillId="0" fontId="15" numFmtId="167" xfId="0" applyAlignment="1" applyBorder="1" applyFont="1" applyNumberFormat="1">
      <alignment horizontal="right" readingOrder="0" vertical="center"/>
    </xf>
    <xf borderId="17" fillId="0" fontId="15" numFmtId="167" xfId="0" applyAlignment="1" applyBorder="1" applyFont="1" applyNumberFormat="1">
      <alignment horizontal="right" readingOrder="0" shrinkToFit="0" vertical="center" wrapText="0"/>
    </xf>
    <xf borderId="17" fillId="0" fontId="90" numFmtId="167" xfId="0" applyAlignment="1" applyBorder="1" applyFont="1" applyNumberFormat="1">
      <alignment horizontal="right" readingOrder="0" shrinkToFit="0" vertical="center" wrapText="0"/>
    </xf>
    <xf borderId="43" fillId="0" fontId="75" numFmtId="167" xfId="0" applyAlignment="1" applyBorder="1" applyFont="1" applyNumberFormat="1">
      <alignment horizontal="right" readingOrder="0" shrinkToFit="0" vertical="center" wrapText="0"/>
    </xf>
    <xf borderId="17" fillId="0" fontId="72" numFmtId="167" xfId="0" applyAlignment="1" applyBorder="1" applyFont="1" applyNumberFormat="1">
      <alignment horizontal="right" readingOrder="0" vertical="center"/>
    </xf>
    <xf borderId="17" fillId="0" fontId="91" numFmtId="167" xfId="0" applyAlignment="1" applyBorder="1" applyFont="1" applyNumberFormat="1">
      <alignment horizontal="right" readingOrder="0" vertical="center"/>
    </xf>
    <xf borderId="17" fillId="0" fontId="72" numFmtId="169" xfId="0" applyAlignment="1" applyBorder="1" applyFont="1" applyNumberFormat="1">
      <alignment horizontal="left" readingOrder="0" vertical="center"/>
    </xf>
    <xf borderId="17" fillId="0" fontId="67" numFmtId="0" xfId="0" applyAlignment="1" applyBorder="1" applyFont="1">
      <alignment horizontal="left" readingOrder="0" shrinkToFit="0" vertical="center" wrapText="1"/>
    </xf>
    <xf borderId="0" fillId="0" fontId="72" numFmtId="0" xfId="0" applyAlignment="1" applyFont="1">
      <alignment vertical="center"/>
    </xf>
    <xf borderId="0" fillId="0" fontId="68" numFmtId="168" xfId="0" applyAlignment="1" applyFont="1" applyNumberFormat="1">
      <alignment horizontal="left" vertical="center"/>
    </xf>
    <xf borderId="0" fillId="0" fontId="68" numFmtId="0" xfId="0" applyAlignment="1" applyFont="1">
      <alignment shrinkToFit="0" vertical="center" wrapText="0"/>
    </xf>
    <xf borderId="44" fillId="0" fontId="15" numFmtId="167" xfId="0" applyAlignment="1" applyBorder="1" applyFont="1" applyNumberFormat="1">
      <alignment horizontal="right" vertical="center"/>
    </xf>
    <xf borderId="0" fillId="0" fontId="15" numFmtId="167" xfId="0" applyAlignment="1" applyFont="1" applyNumberFormat="1">
      <alignment horizontal="right" shrinkToFit="0" vertical="center" wrapText="0"/>
    </xf>
    <xf borderId="0" fillId="0" fontId="90" numFmtId="167" xfId="0" applyAlignment="1" applyFont="1" applyNumberFormat="1">
      <alignment horizontal="right" readingOrder="0" shrinkToFit="0" vertical="center" wrapText="0"/>
    </xf>
    <xf borderId="45" fillId="0" fontId="75" numFmtId="167" xfId="0" applyAlignment="1" applyBorder="1" applyFont="1" applyNumberFormat="1">
      <alignment horizontal="right" readingOrder="0" shrinkToFit="0" vertical="center" wrapText="0"/>
    </xf>
    <xf borderId="0" fillId="0" fontId="72" numFmtId="167" xfId="0" applyAlignment="1" applyFont="1" applyNumberFormat="1">
      <alignment horizontal="right" vertical="center"/>
    </xf>
    <xf borderId="0" fillId="0" fontId="72" numFmtId="169" xfId="0" applyAlignment="1" applyFont="1" applyNumberFormat="1">
      <alignment horizontal="left" readingOrder="0" vertical="center"/>
    </xf>
    <xf borderId="0" fillId="0" fontId="67" numFmtId="0" xfId="0" applyAlignment="1" applyFont="1">
      <alignment horizontal="left" shrinkToFit="0" vertical="center" wrapText="1"/>
    </xf>
    <xf borderId="0" fillId="0" fontId="84" numFmtId="0" xfId="0" applyAlignment="1" applyFont="1">
      <alignment horizontal="left" readingOrder="0" vertical="center"/>
    </xf>
    <xf borderId="0" fillId="0" fontId="88" numFmtId="0" xfId="0" applyAlignment="1" applyFont="1">
      <alignment horizontal="left" readingOrder="0" vertical="center"/>
    </xf>
    <xf borderId="10" fillId="5" fontId="9" numFmtId="170" xfId="0" applyAlignment="1" applyBorder="1" applyFont="1" applyNumberFormat="1">
      <alignment horizontal="left" readingOrder="0" shrinkToFit="0" vertical="center" wrapText="0"/>
    </xf>
    <xf borderId="10" fillId="5" fontId="9" numFmtId="170" xfId="0" applyAlignment="1" applyBorder="1" applyFont="1" applyNumberFormat="1">
      <alignment horizontal="left" readingOrder="0" vertical="center"/>
    </xf>
    <xf borderId="11" fillId="5" fontId="9" numFmtId="170" xfId="0" applyAlignment="1" applyBorder="1" applyFont="1" applyNumberFormat="1">
      <alignment horizontal="left" readingOrder="0" vertical="center"/>
    </xf>
    <xf borderId="10" fillId="5" fontId="24" numFmtId="170" xfId="0" applyAlignment="1" applyBorder="1" applyFont="1" applyNumberFormat="1">
      <alignment horizontal="left" readingOrder="0" vertical="center"/>
    </xf>
    <xf borderId="11" fillId="0" fontId="9" numFmtId="167" xfId="0" applyAlignment="1" applyBorder="1" applyFont="1" applyNumberFormat="1">
      <alignment horizontal="left" readingOrder="0" vertical="center"/>
    </xf>
    <xf borderId="10" fillId="0" fontId="24" numFmtId="167" xfId="0" applyAlignment="1" applyBorder="1" applyFont="1" applyNumberFormat="1">
      <alignment horizontal="left" readingOrder="0" vertical="center"/>
    </xf>
    <xf borderId="11" fillId="5" fontId="9" numFmtId="167" xfId="0" applyAlignment="1" applyBorder="1" applyFont="1" applyNumberFormat="1">
      <alignment horizontal="left" vertical="center"/>
    </xf>
    <xf borderId="10" fillId="5" fontId="24" numFmtId="167" xfId="0" applyAlignment="1" applyBorder="1" applyFont="1" applyNumberFormat="1">
      <alignment horizontal="left" readingOrder="0" vertical="center"/>
    </xf>
    <xf borderId="11" fillId="0" fontId="9" numFmtId="167" xfId="0" applyAlignment="1" applyBorder="1" applyFont="1" applyNumberFormat="1">
      <alignment horizontal="left" vertical="center"/>
    </xf>
    <xf borderId="0" fillId="4" fontId="6" numFmtId="0" xfId="0" applyAlignment="1" applyFont="1">
      <alignment horizontal="center"/>
    </xf>
    <xf borderId="0" fillId="4" fontId="6" numFmtId="0" xfId="0" applyAlignment="1" applyFont="1">
      <alignment horizontal="left"/>
    </xf>
    <xf borderId="0" fillId="0" fontId="94" numFmtId="0" xfId="0" applyAlignment="1" applyFont="1">
      <alignment horizontal="left" readingOrder="0" vertical="bottom"/>
    </xf>
    <xf borderId="0" fillId="0" fontId="83" numFmtId="0" xfId="0" applyAlignment="1" applyFont="1">
      <alignment horizontal="left" readingOrder="0"/>
    </xf>
    <xf borderId="8" fillId="0" fontId="6" numFmtId="0" xfId="0" applyAlignment="1" applyBorder="1" applyFont="1">
      <alignment shrinkToFit="0" wrapText="0"/>
    </xf>
    <xf borderId="8" fillId="0" fontId="6" numFmtId="0" xfId="0" applyAlignment="1" applyBorder="1" applyFont="1">
      <alignment horizontal="center"/>
    </xf>
    <xf borderId="0" fillId="0" fontId="56" numFmtId="0" xfId="0" applyAlignment="1" applyFont="1">
      <alignment readingOrder="0" shrinkToFit="0" vertical="center" wrapText="0"/>
    </xf>
    <xf borderId="0" fillId="0" fontId="56" numFmtId="0" xfId="0" applyAlignment="1" applyFont="1">
      <alignment horizontal="center" readingOrder="0" vertical="center"/>
    </xf>
    <xf borderId="0" fillId="0" fontId="84" numFmtId="0" xfId="0" applyAlignment="1" applyFont="1">
      <alignment readingOrder="0" vertical="center"/>
    </xf>
    <xf borderId="0" fillId="0" fontId="84" numFmtId="0" xfId="0" applyAlignment="1" applyFont="1">
      <alignment readingOrder="0" shrinkToFit="0" vertical="center" wrapText="0"/>
    </xf>
    <xf borderId="0" fillId="0" fontId="84" numFmtId="0" xfId="0" applyAlignment="1" applyFont="1">
      <alignment horizontal="center" readingOrder="0" vertical="center"/>
    </xf>
    <xf borderId="0" fillId="0" fontId="88" numFmtId="0" xfId="0" applyAlignment="1" applyFont="1">
      <alignment readingOrder="0" vertical="center"/>
    </xf>
    <xf borderId="9" fillId="5" fontId="72" numFmtId="0" xfId="0" applyAlignment="1" applyBorder="1" applyFont="1">
      <alignment readingOrder="0" vertical="center"/>
    </xf>
    <xf borderId="10" fillId="5" fontId="15" numFmtId="0" xfId="0" applyAlignment="1" applyBorder="1" applyFont="1">
      <alignment horizontal="left" readingOrder="0" vertical="center"/>
    </xf>
    <xf borderId="10" fillId="5" fontId="9" numFmtId="0" xfId="0" applyAlignment="1" applyBorder="1" applyFont="1">
      <alignment horizontal="left" readingOrder="0" shrinkToFit="0" vertical="center" wrapText="0"/>
    </xf>
    <xf borderId="10" fillId="5" fontId="95" numFmtId="0" xfId="0" applyAlignment="1" applyBorder="1" applyFont="1">
      <alignment readingOrder="0" shrinkToFit="0" vertical="center" wrapText="0"/>
    </xf>
    <xf borderId="10" fillId="5" fontId="15" numFmtId="0" xfId="0" applyAlignment="1" applyBorder="1" applyFont="1">
      <alignment horizontal="center" readingOrder="0" vertical="center"/>
    </xf>
    <xf borderId="11" fillId="5" fontId="72" numFmtId="167" xfId="0" applyAlignment="1" applyBorder="1" applyFont="1" applyNumberFormat="1">
      <alignment horizontal="left" readingOrder="0" vertical="center"/>
    </xf>
    <xf borderId="11" fillId="5" fontId="67" numFmtId="0" xfId="0" applyAlignment="1" applyBorder="1" applyFont="1">
      <alignment horizontal="left" readingOrder="0" shrinkToFit="0" vertical="center" wrapText="1"/>
    </xf>
    <xf borderId="9" fillId="0" fontId="72" numFmtId="0" xfId="0" applyAlignment="1" applyBorder="1" applyFont="1">
      <alignment readingOrder="0" vertical="center"/>
    </xf>
    <xf borderId="10" fillId="0" fontId="15" numFmtId="0" xfId="0" applyAlignment="1" applyBorder="1" applyFont="1">
      <alignment horizontal="left" readingOrder="0" vertical="center"/>
    </xf>
    <xf borderId="10" fillId="0" fontId="9" numFmtId="0" xfId="0" applyAlignment="1" applyBorder="1" applyFont="1">
      <alignment horizontal="left" readingOrder="0" shrinkToFit="0" vertical="center" wrapText="0"/>
    </xf>
    <xf borderId="10" fillId="0" fontId="15" numFmtId="0" xfId="0" applyAlignment="1" applyBorder="1" applyFont="1">
      <alignment readingOrder="0" shrinkToFit="0" vertical="center" wrapText="0"/>
    </xf>
    <xf borderId="10" fillId="0" fontId="15" numFmtId="0" xfId="0" applyAlignment="1" applyBorder="1" applyFont="1">
      <alignment horizontal="center" readingOrder="0" vertical="center"/>
    </xf>
    <xf borderId="11" fillId="0" fontId="72" numFmtId="167" xfId="0" applyAlignment="1" applyBorder="1" applyFont="1" applyNumberFormat="1">
      <alignment horizontal="left" readingOrder="0" vertical="center"/>
    </xf>
    <xf borderId="11" fillId="0" fontId="67" numFmtId="0" xfId="0" applyAlignment="1" applyBorder="1" applyFont="1">
      <alignment horizontal="left" readingOrder="0" shrinkToFit="0" vertical="center" wrapText="1"/>
    </xf>
    <xf borderId="10" fillId="5" fontId="15" numFmtId="0" xfId="0" applyAlignment="1" applyBorder="1" applyFont="1">
      <alignment readingOrder="0" shrinkToFit="0" vertical="center" wrapText="0"/>
    </xf>
    <xf borderId="0" fillId="6" fontId="1" numFmtId="0" xfId="0" applyAlignment="1" applyFont="1">
      <alignment vertical="bottom"/>
    </xf>
    <xf borderId="0" fillId="6" fontId="6" numFmtId="0" xfId="0" applyFont="1"/>
    <xf borderId="0" fillId="0" fontId="30" numFmtId="0" xfId="0" applyAlignment="1" applyFont="1">
      <alignment horizontal="left" readingOrder="0"/>
    </xf>
    <xf borderId="0" fillId="0" fontId="96" numFmtId="0" xfId="0" applyAlignment="1" applyFont="1">
      <alignment horizontal="center" readingOrder="0"/>
    </xf>
    <xf borderId="0" fillId="0" fontId="97" numFmtId="0" xfId="0" applyAlignment="1" applyFont="1">
      <alignment readingOrder="0" vertical="center"/>
    </xf>
    <xf borderId="0" fillId="0" fontId="31" numFmtId="0" xfId="0" applyAlignment="1" applyFont="1">
      <alignment horizontal="center" readingOrder="0" vertical="center"/>
    </xf>
    <xf borderId="0" fillId="0" fontId="98" numFmtId="0" xfId="0" applyAlignment="1" applyFont="1">
      <alignment readingOrder="0" vertical="center"/>
    </xf>
    <xf borderId="0" fillId="0" fontId="98" numFmtId="0" xfId="0" applyAlignment="1" applyFont="1">
      <alignment horizontal="left" readingOrder="0" vertical="center"/>
    </xf>
    <xf borderId="0" fillId="0" fontId="99" numFmtId="0" xfId="0" applyAlignment="1" applyFont="1">
      <alignment readingOrder="0" vertical="center"/>
    </xf>
    <xf borderId="0" fillId="0" fontId="1" numFmtId="0" xfId="0" applyAlignment="1" applyFont="1">
      <alignment horizontal="left" shrinkToFit="0" vertical="center" wrapText="0"/>
    </xf>
    <xf borderId="10" fillId="5" fontId="9" numFmtId="0" xfId="0" applyAlignment="1" applyBorder="1" applyFont="1">
      <alignment horizontal="left" readingOrder="0" shrinkToFit="0" vertical="center" wrapText="0"/>
    </xf>
    <xf borderId="10" fillId="5" fontId="100" numFmtId="0" xfId="0" applyAlignment="1" applyBorder="1" applyFont="1">
      <alignment horizontal="left" readingOrder="0" shrinkToFit="0" vertical="center" wrapText="0"/>
    </xf>
    <xf borderId="10" fillId="5" fontId="31" numFmtId="170" xfId="0" applyAlignment="1" applyBorder="1" applyFont="1" applyNumberFormat="1">
      <alignment horizontal="left" readingOrder="0" shrinkToFit="0" vertical="center" wrapText="0"/>
    </xf>
    <xf borderId="10" fillId="0" fontId="9" numFmtId="0" xfId="0" applyAlignment="1" applyBorder="1" applyFont="1">
      <alignment horizontal="left" readingOrder="0" shrinkToFit="0" vertical="center" wrapText="0"/>
    </xf>
    <xf borderId="10" fillId="0" fontId="31" numFmtId="170" xfId="0" applyAlignment="1" applyBorder="1" applyFont="1" applyNumberFormat="1">
      <alignment horizontal="left" readingOrder="0" shrinkToFit="0" vertical="center" wrapText="0"/>
    </xf>
    <xf borderId="10" fillId="5" fontId="9" numFmtId="168" xfId="0" applyAlignment="1" applyBorder="1" applyFont="1" applyNumberFormat="1">
      <alignment horizontal="left" readingOrder="0" shrinkToFit="0" vertical="center" wrapText="0"/>
    </xf>
    <xf borderId="10" fillId="5" fontId="9" numFmtId="0" xfId="0" applyAlignment="1" applyBorder="1" applyFont="1">
      <alignment horizontal="left" shrinkToFit="0" vertical="center" wrapText="0"/>
    </xf>
    <xf borderId="10" fillId="0" fontId="9" numFmtId="168" xfId="0" applyAlignment="1" applyBorder="1" applyFont="1" applyNumberFormat="1">
      <alignment horizontal="left" readingOrder="0" shrinkToFit="0" vertical="center" wrapText="0"/>
    </xf>
    <xf borderId="10" fillId="0" fontId="9" numFmtId="0" xfId="0" applyAlignment="1" applyBorder="1" applyFont="1">
      <alignment horizontal="left" shrinkToFit="0" vertical="center" wrapText="0"/>
    </xf>
    <xf borderId="9" fillId="5" fontId="25" numFmtId="0" xfId="0" applyAlignment="1" applyBorder="1" applyFont="1">
      <alignment horizontal="left" shrinkToFit="0" vertical="center" wrapText="0"/>
    </xf>
    <xf borderId="10" fillId="5" fontId="9" numFmtId="168" xfId="0" applyAlignment="1" applyBorder="1" applyFont="1" applyNumberFormat="1">
      <alignment horizontal="left" shrinkToFit="0" vertical="center" wrapText="0"/>
    </xf>
    <xf borderId="9" fillId="0" fontId="25" numFmtId="0" xfId="0" applyAlignment="1" applyBorder="1" applyFont="1">
      <alignment horizontal="left" shrinkToFit="0" vertical="center" wrapText="0"/>
    </xf>
    <xf borderId="10" fillId="0" fontId="9" numFmtId="168" xfId="0" applyAlignment="1" applyBorder="1" applyFont="1" applyNumberFormat="1">
      <alignment horizontal="left" shrinkToFit="0" vertical="center" wrapText="0"/>
    </xf>
    <xf borderId="0" fillId="0" fontId="31" numFmtId="0" xfId="0" applyAlignment="1" applyFont="1">
      <alignment horizontal="left" readingOrder="0" vertical="center"/>
    </xf>
    <xf borderId="8" fillId="0" fontId="97" numFmtId="0" xfId="0" applyBorder="1" applyFont="1"/>
    <xf borderId="8" fillId="0" fontId="97" numFmtId="0" xfId="0" applyAlignment="1" applyBorder="1" applyFont="1">
      <alignment horizontal="left"/>
    </xf>
    <xf borderId="0" fillId="0" fontId="97" numFmtId="0" xfId="0" applyFont="1"/>
    <xf borderId="0" fillId="0" fontId="97" numFmtId="0" xfId="0" applyAlignment="1" applyFont="1">
      <alignment horizontal="left"/>
    </xf>
    <xf borderId="0" fillId="0" fontId="99" numFmtId="0" xfId="0" applyAlignment="1" applyFont="1">
      <alignment readingOrder="0" shrinkToFit="0" vertical="center" wrapText="1"/>
    </xf>
    <xf borderId="10" fillId="5" fontId="9" numFmtId="167" xfId="0" applyAlignment="1" applyBorder="1" applyFont="1" applyNumberFormat="1">
      <alignment horizontal="left" readingOrder="0" shrinkToFit="0" vertical="center" wrapText="0"/>
    </xf>
    <xf borderId="10" fillId="5" fontId="31" numFmtId="167" xfId="0" applyAlignment="1" applyBorder="1" applyFont="1" applyNumberFormat="1">
      <alignment horizontal="left" readingOrder="0" vertical="center"/>
    </xf>
    <xf borderId="10" fillId="0" fontId="9" numFmtId="167" xfId="0" applyAlignment="1" applyBorder="1" applyFont="1" applyNumberFormat="1">
      <alignment horizontal="left" readingOrder="0" shrinkToFit="0" vertical="center" wrapText="0"/>
    </xf>
    <xf borderId="10" fillId="0" fontId="31" numFmtId="167" xfId="0" applyAlignment="1" applyBorder="1" applyFont="1" applyNumberFormat="1">
      <alignment horizontal="left" readingOrder="0" vertical="center"/>
    </xf>
    <xf borderId="10" fillId="5" fontId="9" numFmtId="167" xfId="0" applyAlignment="1" applyBorder="1" applyFont="1" applyNumberFormat="1">
      <alignment horizontal="left" shrinkToFit="0" vertical="center" wrapText="0"/>
    </xf>
    <xf borderId="10" fillId="0" fontId="9" numFmtId="167" xfId="0" applyAlignment="1" applyBorder="1" applyFont="1" applyNumberFormat="1">
      <alignment horizontal="left" shrinkToFit="0" vertical="center" wrapText="0"/>
    </xf>
    <xf borderId="0" fillId="0" fontId="55" numFmtId="0" xfId="0" applyFont="1"/>
    <xf borderId="8" fillId="0" fontId="60" numFmtId="0" xfId="0" applyBorder="1" applyFont="1"/>
    <xf borderId="0" fillId="0" fontId="58" numFmtId="0" xfId="0" applyAlignment="1" applyFont="1">
      <alignment vertical="center"/>
    </xf>
    <xf borderId="0" fillId="0" fontId="58" numFmtId="0" xfId="0" applyAlignment="1" applyFont="1">
      <alignment horizontal="left" vertical="center"/>
    </xf>
    <xf borderId="0" fillId="0" fontId="58" numFmtId="0" xfId="0" applyAlignment="1" applyFont="1">
      <alignment horizontal="left" readingOrder="0" shrinkToFit="0" vertical="center" wrapText="1"/>
    </xf>
    <xf borderId="0" fillId="0" fontId="101" numFmtId="0" xfId="0" applyAlignment="1" applyFont="1">
      <alignment horizontal="left" readingOrder="0" shrinkToFit="0" vertical="center" wrapText="1"/>
    </xf>
    <xf borderId="10" fillId="5" fontId="53" numFmtId="167" xfId="0" applyAlignment="1" applyBorder="1" applyFont="1" applyNumberFormat="1">
      <alignment horizontal="left" readingOrder="0" vertical="center"/>
    </xf>
    <xf borderId="11" fillId="5" fontId="21" numFmtId="0" xfId="0" applyAlignment="1" applyBorder="1" applyFont="1">
      <alignment horizontal="left" readingOrder="0" shrinkToFit="0" vertical="center" wrapText="1"/>
    </xf>
    <xf borderId="10" fillId="0" fontId="53" numFmtId="167" xfId="0" applyAlignment="1" applyBorder="1" applyFont="1" applyNumberFormat="1">
      <alignment horizontal="left" readingOrder="0" vertical="center"/>
    </xf>
    <xf borderId="11" fillId="0" fontId="21" numFmtId="0" xfId="0" applyAlignment="1" applyBorder="1" applyFont="1">
      <alignment horizontal="left" readingOrder="0" shrinkToFit="0" vertical="center" wrapText="1"/>
    </xf>
    <xf borderId="11" fillId="5" fontId="21" numFmtId="0" xfId="0" applyAlignment="1" applyBorder="1" applyFont="1">
      <alignment horizontal="left" shrinkToFit="0" vertical="center" wrapText="1"/>
    </xf>
    <xf borderId="11" fillId="0" fontId="21" numFmtId="0" xfId="0" applyAlignment="1" applyBorder="1" applyFont="1">
      <alignment horizontal="left" shrinkToFit="0" vertical="center" wrapText="1"/>
    </xf>
    <xf borderId="10" fillId="5" fontId="15" numFmtId="0" xfId="0" applyAlignment="1" applyBorder="1" applyFont="1">
      <alignment readingOrder="0" vertical="center"/>
    </xf>
    <xf borderId="10" fillId="5" fontId="72" numFmtId="167" xfId="0" applyAlignment="1" applyBorder="1" applyFont="1" applyNumberFormat="1">
      <alignment horizontal="left" readingOrder="0" vertical="center"/>
    </xf>
    <xf borderId="11" fillId="5" fontId="75" numFmtId="0" xfId="0" applyAlignment="1" applyBorder="1" applyFont="1">
      <alignment horizontal="left" readingOrder="0" shrinkToFit="0" vertical="center" wrapText="1"/>
    </xf>
    <xf borderId="10" fillId="0" fontId="15" numFmtId="0" xfId="0" applyAlignment="1" applyBorder="1" applyFont="1">
      <alignment readingOrder="0" vertical="center"/>
    </xf>
    <xf borderId="10" fillId="0" fontId="72" numFmtId="167" xfId="0" applyAlignment="1" applyBorder="1" applyFont="1" applyNumberFormat="1">
      <alignment horizontal="left" readingOrder="0" vertical="center"/>
    </xf>
    <xf borderId="11" fillId="0" fontId="75" numFmtId="0" xfId="0" applyAlignment="1" applyBorder="1" applyFont="1">
      <alignment horizontal="left" readingOrder="0" shrinkToFit="0" vertical="center" wrapText="1"/>
    </xf>
    <xf borderId="10" fillId="5" fontId="15" numFmtId="0" xfId="0" applyAlignment="1" applyBorder="1" applyFont="1">
      <alignment vertical="center"/>
    </xf>
    <xf borderId="10" fillId="0" fontId="15" numFmtId="0" xfId="0" applyAlignment="1" applyBorder="1" applyFont="1">
      <alignment vertical="center"/>
    </xf>
    <xf borderId="11" fillId="5" fontId="75" numFmtId="0" xfId="0" applyAlignment="1" applyBorder="1" applyFont="1">
      <alignment horizontal="left" shrinkToFit="0" vertical="center" wrapText="1"/>
    </xf>
    <xf borderId="10" fillId="5" fontId="15" numFmtId="168" xfId="0" applyAlignment="1" applyBorder="1" applyFont="1" applyNumberFormat="1">
      <alignment horizontal="left" readingOrder="0" vertical="center"/>
    </xf>
    <xf borderId="10" fillId="0" fontId="15" numFmtId="168" xfId="0" applyAlignment="1" applyBorder="1" applyFont="1" applyNumberFormat="1">
      <alignment horizontal="left" readingOrder="0" vertical="center"/>
    </xf>
    <xf borderId="11" fillId="0" fontId="75" numFmtId="0" xfId="0" applyAlignment="1" applyBorder="1" applyFont="1">
      <alignment horizontal="left" shrinkToFit="0" vertical="center" wrapText="1"/>
    </xf>
    <xf borderId="9" fillId="5" fontId="72" numFmtId="0" xfId="0" applyAlignment="1" applyBorder="1" applyFont="1">
      <alignment vertical="center"/>
    </xf>
    <xf borderId="10" fillId="5" fontId="15" numFmtId="168" xfId="0" applyAlignment="1" applyBorder="1" applyFont="1" applyNumberFormat="1">
      <alignment horizontal="left" vertical="center"/>
    </xf>
    <xf borderId="9" fillId="0" fontId="72" numFmtId="0" xfId="0" applyAlignment="1" applyBorder="1" applyFont="1">
      <alignment vertical="center"/>
    </xf>
    <xf borderId="10" fillId="0" fontId="15" numFmtId="168" xfId="0" applyAlignment="1" applyBorder="1" applyFont="1" applyNumberFormat="1">
      <alignment horizontal="left" vertical="center"/>
    </xf>
    <xf borderId="1" fillId="0" fontId="82" numFmtId="0" xfId="0" applyAlignment="1" applyBorder="1" applyFont="1">
      <alignment horizontal="left" readingOrder="0" vertical="center"/>
    </xf>
    <xf borderId="1" fillId="0" fontId="82" numFmtId="0" xfId="0" applyAlignment="1" applyBorder="1" applyFont="1">
      <alignment horizontal="right" readingOrder="0" vertical="center"/>
    </xf>
    <xf borderId="1" fillId="0" fontId="102" numFmtId="0" xfId="0" applyAlignment="1" applyBorder="1" applyFont="1">
      <alignment horizontal="left" readingOrder="0" vertical="center"/>
    </xf>
    <xf borderId="0" fillId="0" fontId="72" numFmtId="0" xfId="0" applyAlignment="1" applyFont="1">
      <alignment readingOrder="0" vertical="center"/>
    </xf>
    <xf borderId="0" fillId="0" fontId="15" numFmtId="0" xfId="0" applyAlignment="1" applyFont="1">
      <alignment horizontal="left" readingOrder="0" vertical="center"/>
    </xf>
    <xf borderId="0" fillId="0" fontId="15" numFmtId="0" xfId="0" applyAlignment="1" applyFont="1">
      <alignment readingOrder="0" vertical="center"/>
    </xf>
    <xf borderId="0" fillId="0" fontId="9" numFmtId="0" xfId="0" applyAlignment="1" applyFont="1">
      <alignment horizontal="left" readingOrder="0" vertical="center"/>
    </xf>
    <xf borderId="0" fillId="0" fontId="25" numFmtId="169" xfId="0" applyAlignment="1" applyFont="1" applyNumberFormat="1">
      <alignment horizontal="right" readingOrder="0" vertical="center"/>
    </xf>
    <xf borderId="0" fillId="0" fontId="72" numFmtId="0" xfId="0" applyAlignment="1" applyFont="1">
      <alignment horizontal="right" readingOrder="0" shrinkToFit="0" vertical="center" wrapText="0"/>
    </xf>
    <xf borderId="0" fillId="0" fontId="15" numFmtId="0" xfId="0" applyAlignment="1" applyFont="1">
      <alignment readingOrder="0" shrinkToFit="0" vertical="center" wrapText="0"/>
    </xf>
    <xf borderId="0" fillId="0" fontId="75" numFmtId="0" xfId="0" applyAlignment="1" applyFont="1">
      <alignment horizontal="left" readingOrder="0" shrinkToFit="0" vertical="center" wrapText="1"/>
    </xf>
    <xf borderId="0" fillId="0" fontId="15" numFmtId="168" xfId="0" applyAlignment="1" applyFont="1" applyNumberFormat="1">
      <alignment horizontal="left" readingOrder="0" vertical="center"/>
    </xf>
    <xf borderId="0" fillId="0" fontId="72" numFmtId="169" xfId="0" applyAlignment="1" applyFont="1" applyNumberFormat="1">
      <alignment horizontal="right" readingOrder="0" vertical="center"/>
    </xf>
    <xf borderId="0" fillId="0" fontId="72" numFmtId="0" xfId="0" applyAlignment="1" applyFont="1">
      <alignment horizontal="right" readingOrder="0" shrinkToFit="0" vertical="center" wrapText="0"/>
    </xf>
    <xf borderId="0" fillId="0" fontId="80" numFmtId="0" xfId="0" applyAlignment="1" applyFont="1">
      <alignment readingOrder="0" shrinkToFit="0" vertical="center" wrapText="0"/>
    </xf>
    <xf borderId="0" fillId="0" fontId="75" numFmtId="0" xfId="0" applyAlignment="1" applyFont="1">
      <alignment horizontal="left" readingOrder="0" shrinkToFit="0" vertical="center" wrapText="1"/>
    </xf>
    <xf borderId="0" fillId="0" fontId="103" numFmtId="0" xfId="0" applyAlignment="1" applyFont="1">
      <alignment readingOrder="0" vertical="center"/>
    </xf>
    <xf borderId="0" fillId="0" fontId="72" numFmtId="167" xfId="0" applyAlignment="1" applyFont="1" applyNumberFormat="1">
      <alignment horizontal="right" readingOrder="0" vertical="center"/>
    </xf>
    <xf borderId="0" fillId="0" fontId="75" numFmtId="0" xfId="0" applyAlignment="1" applyFont="1">
      <alignment horizontal="left" shrinkToFit="0" vertical="center" wrapText="1"/>
    </xf>
    <xf borderId="0" fillId="0" fontId="72" numFmtId="0" xfId="0" applyAlignment="1" applyFont="1">
      <alignment horizontal="right" shrinkToFit="0" vertical="center" wrapText="0"/>
    </xf>
    <xf borderId="0" fillId="0" fontId="15" numFmtId="0" xfId="0" applyAlignment="1" applyFont="1">
      <alignment shrinkToFit="0" vertical="center" wrapText="0"/>
    </xf>
    <xf borderId="0" fillId="0" fontId="80" numFmtId="0" xfId="0" applyAlignment="1" applyFont="1">
      <alignment readingOrder="0" shrinkToFit="0" vertical="center" wrapText="0"/>
    </xf>
    <xf borderId="0" fillId="0" fontId="15" numFmtId="168" xfId="0" applyAlignment="1" applyFont="1" applyNumberFormat="1">
      <alignment horizontal="left" vertical="center"/>
    </xf>
    <xf borderId="0" fillId="0" fontId="102" numFmtId="0" xfId="0" applyAlignment="1" applyFont="1">
      <alignment readingOrder="0" vertical="center"/>
    </xf>
    <xf borderId="9" fillId="5" fontId="70" numFmtId="0" xfId="0" applyAlignment="1" applyBorder="1" applyFont="1">
      <alignment readingOrder="0" vertical="center"/>
    </xf>
    <xf borderId="9" fillId="0" fontId="70" numFmtId="0" xfId="0" applyAlignment="1" applyBorder="1" applyFont="1">
      <alignment readingOrder="0" vertical="center"/>
    </xf>
    <xf borderId="0" fillId="0" fontId="70" numFmtId="0" xfId="0" applyAlignment="1" applyFont="1">
      <alignment vertical="center"/>
    </xf>
  </cellXfs>
  <cellStyles count="1">
    <cellStyle xfId="0" name="Normal" builtinId="0"/>
  </cellStyles>
  <dxfs count="3">
    <dxf>
      <font>
        <strike/>
        <color rgb="FF666666"/>
      </font>
      <fill>
        <patternFill patternType="none"/>
      </fill>
      <border/>
    </dxf>
    <dxf>
      <font/>
      <fill>
        <patternFill patternType="solid">
          <fgColor rgb="FFFCE5CD"/>
          <bgColor rgb="FFFCE5CD"/>
        </patternFill>
      </fill>
      <border/>
    </dxf>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ebsite.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website.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ebsite.com" TargetMode="External"/><Relationship Id="rId2" Type="http://schemas.openxmlformats.org/officeDocument/2006/relationships/hyperlink" Target="http://website.com"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website.com"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ebsite.com"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website.com" TargetMode="External"/><Relationship Id="rId2" Type="http://schemas.openxmlformats.org/officeDocument/2006/relationships/hyperlink" Target="http://website.com"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website.com"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website.com"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website.com"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website.com"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website.com"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website.com"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website.com" TargetMode="External"/><Relationship Id="rId2" Type="http://schemas.openxmlformats.org/officeDocument/2006/relationships/hyperlink" Target="http://website.com"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284"/>
    <outlinePr summaryBelow="0" summaryRight="0"/>
  </sheetPr>
  <sheetViews>
    <sheetView showGridLines="0" workbookViewId="0"/>
  </sheetViews>
  <sheetFormatPr customHeight="1" defaultColWidth="12.63" defaultRowHeight="15.75"/>
  <cols>
    <col customWidth="1" min="1" max="1" width="5.13"/>
    <col customWidth="1" min="2" max="2" width="1.13"/>
    <col customWidth="1" min="3" max="3" width="55.0"/>
    <col customWidth="1" min="4" max="4" width="1.13"/>
    <col customWidth="1" min="5" max="5" width="5.88"/>
    <col customWidth="1" min="6" max="6" width="1.13"/>
    <col customWidth="1" min="7" max="7" width="20.13"/>
    <col customWidth="1" min="8" max="8" width="6.88"/>
    <col customWidth="1" min="9" max="9" width="1.13"/>
    <col customWidth="1" min="10" max="10" width="17.38"/>
    <col customWidth="1" min="11" max="11" width="3.13"/>
    <col customWidth="1" min="12" max="12" width="4.75"/>
  </cols>
  <sheetData>
    <row r="1" ht="6.0" customHeight="1">
      <c r="A1" s="1"/>
      <c r="B1" s="2"/>
      <c r="C1" s="2"/>
      <c r="D1" s="2"/>
      <c r="E1" s="1"/>
      <c r="F1" s="1"/>
      <c r="G1" s="1"/>
      <c r="H1" s="1"/>
      <c r="I1" s="1"/>
      <c r="J1" s="1"/>
      <c r="K1" s="1"/>
      <c r="L1" s="1"/>
    </row>
    <row r="2" ht="66.0" customHeight="1">
      <c r="A2" s="3"/>
      <c r="B2" s="4"/>
      <c r="C2" s="5" t="s">
        <v>0</v>
      </c>
      <c r="D2" s="6"/>
      <c r="E2" s="7"/>
      <c r="F2" s="8" t="s">
        <v>1</v>
      </c>
      <c r="H2" s="3"/>
      <c r="I2" s="3"/>
      <c r="J2" s="3"/>
      <c r="K2" s="3"/>
      <c r="L2" s="3"/>
    </row>
    <row r="3" ht="6.0" customHeight="1">
      <c r="A3" s="9"/>
      <c r="B3" s="10"/>
      <c r="C3" s="11"/>
      <c r="D3" s="11"/>
      <c r="E3" s="9"/>
      <c r="F3" s="12"/>
      <c r="G3" s="12"/>
      <c r="H3" s="12"/>
      <c r="I3" s="12"/>
      <c r="J3" s="12"/>
      <c r="K3" s="12"/>
      <c r="L3" s="9"/>
    </row>
    <row r="4" ht="12.0" customHeight="1">
      <c r="A4" s="13"/>
      <c r="B4" s="14"/>
      <c r="C4" s="14"/>
      <c r="D4" s="14"/>
      <c r="E4" s="15"/>
      <c r="F4" s="15"/>
      <c r="G4" s="15"/>
      <c r="H4" s="15"/>
      <c r="I4" s="15"/>
      <c r="J4" s="15"/>
      <c r="K4" s="15"/>
      <c r="L4" s="13"/>
    </row>
    <row r="5" ht="19.5" customHeight="1">
      <c r="A5" s="16"/>
      <c r="B5" s="17"/>
      <c r="C5" s="18" t="s">
        <v>2</v>
      </c>
      <c r="D5" s="17"/>
      <c r="E5" s="19"/>
      <c r="F5" s="20" t="s">
        <v>3</v>
      </c>
      <c r="H5" s="21"/>
      <c r="I5" s="20" t="s">
        <v>4</v>
      </c>
      <c r="K5" s="22"/>
      <c r="L5" s="23"/>
    </row>
    <row r="6" ht="19.5" customHeight="1">
      <c r="A6" s="16"/>
      <c r="B6" s="17"/>
      <c r="D6" s="17"/>
      <c r="E6" s="24"/>
      <c r="F6" s="25"/>
      <c r="G6" s="26" t="s">
        <v>5</v>
      </c>
      <c r="H6" s="25"/>
      <c r="I6" s="25"/>
      <c r="J6" s="27" t="s">
        <v>6</v>
      </c>
      <c r="K6" s="22"/>
      <c r="L6" s="23"/>
    </row>
    <row r="7" ht="19.5" customHeight="1">
      <c r="A7" s="16"/>
      <c r="B7" s="17"/>
      <c r="D7" s="17"/>
      <c r="E7" s="24"/>
      <c r="F7" s="25"/>
      <c r="G7" s="27" t="s">
        <v>7</v>
      </c>
      <c r="H7" s="25"/>
      <c r="I7" s="25"/>
      <c r="J7" s="27" t="s">
        <v>8</v>
      </c>
      <c r="K7" s="22"/>
      <c r="L7" s="23"/>
    </row>
    <row r="8" ht="19.5" customHeight="1">
      <c r="A8" s="16"/>
      <c r="B8" s="17"/>
      <c r="D8" s="17"/>
      <c r="E8" s="24"/>
      <c r="F8" s="25"/>
      <c r="G8" s="27" t="s">
        <v>9</v>
      </c>
      <c r="H8" s="25"/>
      <c r="I8" s="25"/>
      <c r="J8" s="27" t="s">
        <v>10</v>
      </c>
      <c r="K8" s="22"/>
      <c r="L8" s="23"/>
    </row>
    <row r="9" ht="19.5" customHeight="1">
      <c r="A9" s="16"/>
      <c r="B9" s="17"/>
      <c r="D9" s="17"/>
      <c r="E9" s="19"/>
      <c r="F9" s="20" t="s">
        <v>11</v>
      </c>
      <c r="H9" s="28"/>
      <c r="I9" s="20" t="s">
        <v>12</v>
      </c>
      <c r="K9" s="28"/>
      <c r="L9" s="29"/>
    </row>
    <row r="10" ht="19.5" customHeight="1">
      <c r="A10" s="16"/>
      <c r="B10" s="17"/>
      <c r="D10" s="17"/>
      <c r="E10" s="24"/>
      <c r="F10" s="25"/>
      <c r="G10" s="30" t="s">
        <v>13</v>
      </c>
      <c r="H10" s="31"/>
      <c r="I10" s="25"/>
      <c r="J10" s="27" t="s">
        <v>14</v>
      </c>
      <c r="K10" s="32"/>
      <c r="L10" s="33"/>
    </row>
    <row r="11" ht="19.5" customHeight="1">
      <c r="A11" s="16"/>
      <c r="B11" s="34"/>
      <c r="C11" s="35" t="str">
        <f>HYPERLINK("https://support.google.com/drive/answer/2494822?hl=pt-BR","Saiba como compartilhar formulários")</f>
        <v>Saiba como compartilhar formulários</v>
      </c>
      <c r="D11" s="34"/>
      <c r="E11" s="24"/>
      <c r="F11" s="25"/>
      <c r="G11" s="27" t="s">
        <v>15</v>
      </c>
      <c r="H11" s="25"/>
      <c r="I11" s="25"/>
      <c r="J11" s="27" t="s">
        <v>16</v>
      </c>
      <c r="K11" s="22"/>
      <c r="L11" s="23"/>
    </row>
    <row r="12" ht="19.5" customHeight="1">
      <c r="A12" s="16"/>
      <c r="B12" s="36"/>
      <c r="C12" s="36"/>
      <c r="D12" s="36"/>
      <c r="E12" s="19"/>
      <c r="F12" s="20" t="s">
        <v>17</v>
      </c>
      <c r="H12" s="21"/>
      <c r="I12" s="20" t="s">
        <v>18</v>
      </c>
      <c r="K12" s="21"/>
      <c r="L12" s="37"/>
    </row>
    <row r="13" ht="19.5" customHeight="1">
      <c r="A13" s="16"/>
      <c r="B13" s="38"/>
      <c r="C13" s="39" t="s">
        <v>19</v>
      </c>
      <c r="D13" s="40"/>
      <c r="E13" s="24"/>
      <c r="F13" s="25"/>
      <c r="G13" s="27" t="s">
        <v>20</v>
      </c>
      <c r="H13" s="25"/>
      <c r="I13" s="25"/>
      <c r="J13" s="27" t="s">
        <v>21</v>
      </c>
      <c r="K13" s="22"/>
      <c r="L13" s="23"/>
    </row>
    <row r="14" ht="19.5" customHeight="1">
      <c r="A14" s="16"/>
      <c r="B14" s="41"/>
      <c r="C14" s="17" t="s">
        <v>22</v>
      </c>
      <c r="D14" s="42"/>
      <c r="E14" s="24"/>
      <c r="F14" s="25"/>
      <c r="G14" s="27" t="s">
        <v>23</v>
      </c>
      <c r="H14" s="25"/>
      <c r="I14" s="25"/>
      <c r="J14" s="27" t="s">
        <v>24</v>
      </c>
      <c r="K14" s="22"/>
      <c r="L14" s="23"/>
    </row>
    <row r="15" ht="19.5" customHeight="1">
      <c r="A15" s="16"/>
      <c r="B15" s="41"/>
      <c r="D15" s="43"/>
      <c r="E15" s="24"/>
      <c r="F15" s="25"/>
      <c r="G15" s="27" t="s">
        <v>25</v>
      </c>
      <c r="H15" s="25"/>
      <c r="I15" s="20" t="s">
        <v>26</v>
      </c>
      <c r="K15" s="22"/>
      <c r="L15" s="23"/>
    </row>
    <row r="16" ht="19.5" customHeight="1">
      <c r="A16" s="16"/>
      <c r="B16" s="44"/>
      <c r="C16" s="44"/>
      <c r="D16" s="45"/>
      <c r="E16" s="24"/>
      <c r="F16" s="25"/>
      <c r="G16" s="27" t="s">
        <v>27</v>
      </c>
      <c r="H16" s="25"/>
      <c r="I16" s="25"/>
      <c r="J16" s="30" t="s">
        <v>28</v>
      </c>
      <c r="K16" s="22"/>
      <c r="L16" s="23"/>
    </row>
    <row r="17" ht="19.5" customHeight="1">
      <c r="A17" s="16"/>
      <c r="B17" s="45"/>
      <c r="C17" s="46" t="s">
        <v>29</v>
      </c>
      <c r="D17" s="45"/>
      <c r="E17" s="19"/>
      <c r="F17" s="20" t="s">
        <v>30</v>
      </c>
      <c r="H17" s="25"/>
      <c r="I17" s="25"/>
      <c r="J17" s="27" t="s">
        <v>31</v>
      </c>
      <c r="K17" s="22"/>
      <c r="L17" s="23"/>
    </row>
    <row r="18" ht="19.5" customHeight="1">
      <c r="A18" s="16"/>
      <c r="B18" s="45"/>
      <c r="D18" s="45"/>
      <c r="E18" s="24"/>
      <c r="F18" s="25"/>
      <c r="G18" s="27" t="s">
        <v>32</v>
      </c>
      <c r="H18" s="25"/>
      <c r="I18" s="25"/>
      <c r="J18" s="47"/>
      <c r="K18" s="22"/>
      <c r="L18" s="23"/>
    </row>
    <row r="19" ht="19.5" customHeight="1">
      <c r="A19" s="16"/>
      <c r="B19" s="48"/>
      <c r="C19" s="48"/>
      <c r="D19" s="48"/>
      <c r="E19" s="24"/>
      <c r="F19" s="25"/>
      <c r="G19" s="27" t="s">
        <v>33</v>
      </c>
      <c r="H19" s="25"/>
      <c r="I19" s="25"/>
      <c r="J19" s="31"/>
      <c r="K19" s="22"/>
      <c r="L19" s="23"/>
    </row>
    <row r="20" ht="19.5" customHeight="1">
      <c r="A20" s="16"/>
      <c r="B20" s="45"/>
      <c r="C20" s="45"/>
      <c r="D20" s="45"/>
      <c r="E20" s="49"/>
      <c r="F20" s="50"/>
      <c r="G20" s="50"/>
      <c r="H20" s="25"/>
      <c r="I20" s="51"/>
      <c r="K20" s="22"/>
      <c r="L20" s="23"/>
    </row>
  </sheetData>
  <mergeCells count="13">
    <mergeCell ref="C5:C10"/>
    <mergeCell ref="C14:C15"/>
    <mergeCell ref="C17:C18"/>
    <mergeCell ref="F12:G12"/>
    <mergeCell ref="F17:G17"/>
    <mergeCell ref="F2:G2"/>
    <mergeCell ref="F5:G5"/>
    <mergeCell ref="I5:J5"/>
    <mergeCell ref="F9:G9"/>
    <mergeCell ref="I9:J9"/>
    <mergeCell ref="I12:J12"/>
    <mergeCell ref="I15:J15"/>
    <mergeCell ref="I20:J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89F38"/>
    <outlinePr summaryBelow="0" summaryRight="0"/>
  </sheetPr>
  <sheetViews>
    <sheetView showGridLines="0" workbookViewId="0"/>
  </sheetViews>
  <sheetFormatPr customHeight="1" defaultColWidth="12.63" defaultRowHeight="15.75"/>
  <cols>
    <col customWidth="1" min="1" max="1" width="5.13"/>
    <col customWidth="1" min="2" max="2" width="38.25"/>
    <col customWidth="1" min="4" max="4" width="14.13"/>
    <col customWidth="1" min="5" max="5" width="76.38"/>
    <col customWidth="1" min="6" max="6" width="5.13"/>
  </cols>
  <sheetData>
    <row r="1" ht="6.0" customHeight="1">
      <c r="A1" s="52"/>
      <c r="B1" s="52"/>
      <c r="C1" s="52"/>
      <c r="D1" s="52"/>
      <c r="E1" s="52"/>
      <c r="F1" s="52"/>
    </row>
    <row r="2" ht="66.0" customHeight="1">
      <c r="A2" s="13"/>
      <c r="B2" s="53" t="s">
        <v>34</v>
      </c>
      <c r="C2" s="13"/>
      <c r="D2" s="13"/>
      <c r="E2" s="54"/>
      <c r="F2" s="13"/>
    </row>
    <row r="3" ht="12.0" customHeight="1">
      <c r="A3" s="13"/>
      <c r="B3" s="55"/>
      <c r="C3" s="55"/>
      <c r="D3" s="55"/>
      <c r="E3" s="55"/>
      <c r="F3" s="13"/>
    </row>
    <row r="4" ht="12.0" customHeight="1">
      <c r="A4" s="13"/>
      <c r="B4" s="13"/>
      <c r="C4" s="13"/>
      <c r="D4" s="13"/>
      <c r="E4" s="13"/>
      <c r="F4" s="13"/>
    </row>
    <row r="5" ht="21.0" customHeight="1">
      <c r="A5" s="49"/>
      <c r="B5" s="56" t="s">
        <v>5</v>
      </c>
      <c r="C5" s="57" t="s">
        <v>35</v>
      </c>
      <c r="D5" s="57" t="s">
        <v>36</v>
      </c>
      <c r="E5" s="58" t="s">
        <v>37</v>
      </c>
      <c r="F5" s="49"/>
    </row>
    <row r="6" ht="21.0" customHeight="1">
      <c r="A6" s="49"/>
      <c r="B6" s="59" t="s">
        <v>38</v>
      </c>
      <c r="C6" s="60">
        <v>36771.0</v>
      </c>
      <c r="D6" s="61" t="s">
        <v>39</v>
      </c>
      <c r="E6" s="62" t="s">
        <v>40</v>
      </c>
      <c r="F6" s="49"/>
    </row>
    <row r="7" ht="21.0" customHeight="1">
      <c r="A7" s="49"/>
      <c r="B7" s="63" t="s">
        <v>41</v>
      </c>
      <c r="C7" s="64" t="s">
        <v>42</v>
      </c>
      <c r="D7" s="65" t="s">
        <v>43</v>
      </c>
      <c r="E7" s="66" t="s">
        <v>44</v>
      </c>
      <c r="F7" s="49"/>
    </row>
    <row r="8" ht="21.0" customHeight="1">
      <c r="A8" s="49"/>
      <c r="B8" s="67" t="s">
        <v>45</v>
      </c>
      <c r="C8" s="68">
        <v>36774.0</v>
      </c>
      <c r="D8" s="69" t="s">
        <v>46</v>
      </c>
      <c r="E8" s="62"/>
      <c r="F8" s="49"/>
    </row>
    <row r="9" ht="21.0" customHeight="1">
      <c r="A9" s="49"/>
      <c r="B9" s="63" t="s">
        <v>47</v>
      </c>
      <c r="C9" s="70">
        <v>36775.0</v>
      </c>
      <c r="D9" s="65" t="s">
        <v>46</v>
      </c>
      <c r="E9" s="71"/>
      <c r="F9" s="49"/>
    </row>
    <row r="10" ht="21.0" customHeight="1">
      <c r="A10" s="49"/>
      <c r="B10" s="67" t="s">
        <v>48</v>
      </c>
      <c r="C10" s="68">
        <v>36776.0</v>
      </c>
      <c r="D10" s="69" t="s">
        <v>46</v>
      </c>
      <c r="E10" s="72"/>
      <c r="F10" s="49"/>
    </row>
    <row r="11" ht="21.0" customHeight="1">
      <c r="A11" s="49"/>
      <c r="B11" s="63" t="s">
        <v>49</v>
      </c>
      <c r="C11" s="70">
        <v>36777.0</v>
      </c>
      <c r="D11" s="65" t="s">
        <v>46</v>
      </c>
      <c r="E11" s="71"/>
      <c r="F11" s="49"/>
    </row>
    <row r="12" ht="21.0" customHeight="1">
      <c r="A12" s="49"/>
      <c r="B12" s="67" t="s">
        <v>50</v>
      </c>
      <c r="C12" s="73" t="s">
        <v>51</v>
      </c>
      <c r="D12" s="69" t="s">
        <v>46</v>
      </c>
      <c r="E12" s="72"/>
      <c r="F12" s="49"/>
    </row>
    <row r="13" ht="21.0" customHeight="1">
      <c r="A13" s="49"/>
      <c r="B13" s="63" t="s">
        <v>52</v>
      </c>
      <c r="C13" s="64"/>
      <c r="D13" s="65" t="s">
        <v>46</v>
      </c>
      <c r="E13" s="71"/>
      <c r="F13" s="49"/>
    </row>
    <row r="14" ht="21.0" customHeight="1">
      <c r="A14" s="49"/>
      <c r="B14" s="74"/>
      <c r="C14" s="75"/>
      <c r="D14" s="69"/>
      <c r="E14" s="72"/>
      <c r="F14" s="49"/>
    </row>
    <row r="15" ht="21.0" customHeight="1">
      <c r="A15" s="49"/>
      <c r="B15" s="76"/>
      <c r="C15" s="77"/>
      <c r="D15" s="78"/>
      <c r="E15" s="71"/>
      <c r="F15" s="49"/>
    </row>
    <row r="16" ht="21.0" customHeight="1">
      <c r="A16" s="49"/>
      <c r="B16" s="74"/>
      <c r="C16" s="75"/>
      <c r="D16" s="69"/>
      <c r="E16" s="72"/>
      <c r="F16" s="49"/>
    </row>
    <row r="17" ht="21.0" customHeight="1">
      <c r="A17" s="49"/>
      <c r="B17" s="79"/>
      <c r="C17" s="80"/>
      <c r="D17" s="78"/>
      <c r="E17" s="71"/>
      <c r="F17" s="49"/>
    </row>
    <row r="18" ht="21.0" customHeight="1">
      <c r="A18" s="49"/>
      <c r="B18" s="81"/>
      <c r="C18" s="75"/>
      <c r="D18" s="69"/>
      <c r="E18" s="72"/>
      <c r="F18" s="49"/>
    </row>
    <row r="19" ht="21.0" customHeight="1">
      <c r="A19" s="49"/>
      <c r="B19" s="76"/>
      <c r="C19" s="77"/>
      <c r="D19" s="78"/>
      <c r="E19" s="71"/>
      <c r="F19" s="49"/>
    </row>
    <row r="20" ht="21.0" customHeight="1">
      <c r="A20" s="49"/>
      <c r="B20" s="74"/>
      <c r="C20" s="75"/>
      <c r="D20" s="69"/>
      <c r="E20" s="72"/>
      <c r="F20" s="49"/>
    </row>
    <row r="21" ht="21.0" customHeight="1">
      <c r="A21" s="49"/>
      <c r="B21" s="79"/>
      <c r="C21" s="80"/>
      <c r="D21" s="78"/>
      <c r="E21" s="71"/>
      <c r="F21" s="49"/>
    </row>
    <row r="22" ht="21.0" customHeight="1">
      <c r="A22" s="49"/>
      <c r="B22" s="74"/>
      <c r="C22" s="75"/>
      <c r="D22" s="69"/>
      <c r="E22" s="72"/>
      <c r="F22" s="49"/>
    </row>
    <row r="23" ht="21.0" customHeight="1">
      <c r="A23" s="49"/>
      <c r="B23" s="76"/>
      <c r="C23" s="77"/>
      <c r="D23" s="78"/>
      <c r="E23" s="71"/>
      <c r="F23" s="49"/>
    </row>
    <row r="24" ht="21.0" customHeight="1">
      <c r="A24" s="49"/>
      <c r="B24" s="74"/>
      <c r="C24" s="75"/>
      <c r="D24" s="69"/>
      <c r="E24" s="72"/>
      <c r="F24" s="49"/>
    </row>
    <row r="25" ht="21.0" customHeight="1">
      <c r="A25" s="49"/>
      <c r="B25" s="79"/>
      <c r="C25" s="80"/>
      <c r="D25" s="78"/>
      <c r="E25" s="71"/>
      <c r="F25" s="49"/>
    </row>
    <row r="26" ht="21.0" customHeight="1">
      <c r="A26" s="49"/>
      <c r="B26" s="74"/>
      <c r="C26" s="75"/>
      <c r="D26" s="69"/>
      <c r="E26" s="72"/>
      <c r="F26" s="49"/>
    </row>
    <row r="27" ht="21.0" customHeight="1">
      <c r="A27" s="49"/>
      <c r="B27" s="76"/>
      <c r="C27" s="77"/>
      <c r="D27" s="78"/>
      <c r="E27" s="71"/>
      <c r="F27" s="49"/>
    </row>
    <row r="28" ht="21.0" customHeight="1">
      <c r="A28" s="49"/>
      <c r="B28" s="74"/>
      <c r="C28" s="75"/>
      <c r="D28" s="69"/>
      <c r="E28" s="72"/>
      <c r="F28" s="49"/>
    </row>
    <row r="29" ht="21.0" customHeight="1">
      <c r="A29" s="49"/>
      <c r="B29" s="79"/>
      <c r="C29" s="80"/>
      <c r="D29" s="78"/>
      <c r="E29" s="71"/>
      <c r="F29" s="49"/>
    </row>
    <row r="30" ht="21.0" customHeight="1">
      <c r="A30" s="49"/>
      <c r="B30" s="74"/>
      <c r="C30" s="75"/>
      <c r="D30" s="69"/>
      <c r="E30" s="72"/>
      <c r="F30" s="49"/>
    </row>
    <row r="31" ht="21.0" customHeight="1">
      <c r="A31" s="49"/>
      <c r="B31" s="76"/>
      <c r="C31" s="77"/>
      <c r="D31" s="78"/>
      <c r="E31" s="71"/>
      <c r="F31" s="49"/>
    </row>
    <row r="32" ht="21.0" customHeight="1">
      <c r="A32" s="49"/>
      <c r="B32" s="74"/>
      <c r="C32" s="75"/>
      <c r="D32" s="69"/>
      <c r="E32" s="72"/>
      <c r="F32" s="49"/>
    </row>
    <row r="33" ht="21.0" customHeight="1">
      <c r="A33" s="49"/>
      <c r="B33" s="79"/>
      <c r="C33" s="80"/>
      <c r="D33" s="78"/>
      <c r="E33" s="71"/>
      <c r="F33" s="49"/>
    </row>
    <row r="34" ht="21.0" customHeight="1">
      <c r="A34" s="49"/>
      <c r="B34" s="74"/>
      <c r="C34" s="75"/>
      <c r="D34" s="69"/>
      <c r="E34" s="72"/>
      <c r="F34" s="49"/>
    </row>
    <row r="35" ht="21.0" customHeight="1">
      <c r="A35" s="49"/>
      <c r="B35" s="76"/>
      <c r="C35" s="77"/>
      <c r="D35" s="78"/>
      <c r="E35" s="71"/>
      <c r="F35" s="49"/>
    </row>
    <row r="36" ht="21.0" customHeight="1">
      <c r="A36" s="49"/>
      <c r="B36" s="74"/>
      <c r="C36" s="75"/>
      <c r="D36" s="69"/>
      <c r="E36" s="72"/>
      <c r="F36" s="49"/>
    </row>
    <row r="37" ht="21.0" customHeight="1">
      <c r="A37" s="49"/>
      <c r="B37" s="79"/>
      <c r="C37" s="80"/>
      <c r="D37" s="78"/>
      <c r="E37" s="71"/>
      <c r="F37" s="49"/>
    </row>
    <row r="38" ht="21.0" customHeight="1">
      <c r="A38" s="49"/>
      <c r="B38" s="74"/>
      <c r="C38" s="75"/>
      <c r="D38" s="69"/>
      <c r="E38" s="72"/>
      <c r="F38" s="49"/>
    </row>
    <row r="39" ht="21.0" customHeight="1">
      <c r="A39" s="49"/>
      <c r="B39" s="76"/>
      <c r="C39" s="77"/>
      <c r="D39" s="78"/>
      <c r="E39" s="71"/>
      <c r="F39" s="49"/>
    </row>
    <row r="40" ht="21.0" customHeight="1">
      <c r="A40" s="49"/>
      <c r="B40" s="74"/>
      <c r="C40" s="75"/>
      <c r="D40" s="69"/>
      <c r="E40" s="72"/>
      <c r="F40" s="49"/>
    </row>
    <row r="41" ht="21.0" customHeight="1">
      <c r="A41" s="49"/>
      <c r="B41" s="79"/>
      <c r="C41" s="80"/>
      <c r="D41" s="78"/>
      <c r="E41" s="71"/>
      <c r="F41" s="49"/>
    </row>
    <row r="42" ht="21.0" customHeight="1">
      <c r="A42" s="49"/>
      <c r="B42" s="74"/>
      <c r="C42" s="75"/>
      <c r="D42" s="69"/>
      <c r="E42" s="72"/>
      <c r="F42" s="49"/>
    </row>
    <row r="43" ht="21.0" customHeight="1">
      <c r="A43" s="49"/>
      <c r="B43" s="76"/>
      <c r="C43" s="77"/>
      <c r="D43" s="78"/>
      <c r="E43" s="71"/>
      <c r="F43" s="49"/>
    </row>
    <row r="44" ht="21.0" customHeight="1">
      <c r="A44" s="49"/>
      <c r="B44" s="74"/>
      <c r="C44" s="75"/>
      <c r="D44" s="69"/>
      <c r="E44" s="72"/>
      <c r="F44" s="49"/>
    </row>
    <row r="45" ht="21.0" customHeight="1">
      <c r="A45" s="49"/>
      <c r="B45" s="79"/>
      <c r="C45" s="80"/>
      <c r="D45" s="78"/>
      <c r="E45" s="71"/>
      <c r="F45" s="49"/>
    </row>
    <row r="46" ht="21.0" customHeight="1">
      <c r="A46" s="49"/>
      <c r="B46" s="74"/>
      <c r="C46" s="75"/>
      <c r="D46" s="69"/>
      <c r="E46" s="72"/>
      <c r="F46" s="49"/>
    </row>
    <row r="47" ht="21.0" customHeight="1">
      <c r="A47" s="49"/>
      <c r="B47" s="76"/>
      <c r="C47" s="77"/>
      <c r="D47" s="78"/>
      <c r="E47" s="71"/>
      <c r="F47" s="49"/>
    </row>
    <row r="48" ht="21.0" customHeight="1">
      <c r="A48" s="49"/>
      <c r="B48" s="74"/>
      <c r="C48" s="75"/>
      <c r="D48" s="69"/>
      <c r="E48" s="72"/>
      <c r="F48" s="49"/>
    </row>
    <row r="49" ht="21.0" customHeight="1">
      <c r="A49" s="49"/>
      <c r="B49" s="79"/>
      <c r="C49" s="80"/>
      <c r="D49" s="78"/>
      <c r="E49" s="71"/>
      <c r="F49" s="49"/>
    </row>
    <row r="50" ht="21.0" hidden="1" customHeight="1">
      <c r="A50" s="49"/>
      <c r="B50" s="79"/>
      <c r="C50" s="82"/>
      <c r="D50" s="83"/>
      <c r="E50" s="84"/>
      <c r="F50" s="49"/>
    </row>
  </sheetData>
  <autoFilter ref="$B$5:$E$50">
    <sortState ref="B5:E50">
      <sortCondition ref="D5:D50"/>
      <sortCondition ref="C5:C50"/>
    </sortState>
  </autoFilter>
  <conditionalFormatting sqref="B6:D50">
    <cfRule type="expression" dxfId="0" priority="1">
      <formula>($D6 = "Done")</formula>
    </cfRule>
  </conditionalFormatting>
  <dataValidations>
    <dataValidation type="list" allowBlank="1" sqref="D6:D49">
      <formula1>"Concluída,Atrasada,Em andamento,Não iniciada"</formula1>
    </dataValidation>
    <dataValidation type="list" allowBlank="1" sqref="D50">
      <formula1>"Done,Late,In progress,Not started"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89F38"/>
    <outlinePr summaryBelow="0" summaryRight="0"/>
  </sheetPr>
  <sheetViews>
    <sheetView showGridLines="0" workbookViewId="0"/>
  </sheetViews>
  <sheetFormatPr customHeight="1" defaultColWidth="12.63" defaultRowHeight="15.75"/>
  <cols>
    <col customWidth="1" min="1" max="1" width="5.13"/>
    <col customWidth="1" min="2" max="3" width="17.63"/>
    <col customWidth="1" min="4" max="4" width="11.38"/>
    <col customWidth="1" min="5" max="5" width="20.38"/>
    <col customWidth="1" min="6" max="6" width="14.63"/>
    <col customWidth="1" min="7" max="7" width="7.13"/>
    <col customWidth="1" min="8" max="8" width="27.0"/>
    <col customWidth="1" min="9" max="9" width="5.13"/>
  </cols>
  <sheetData>
    <row r="1" ht="6.0" customHeight="1">
      <c r="A1" s="85"/>
      <c r="B1" s="85"/>
      <c r="C1" s="85"/>
      <c r="D1" s="85"/>
      <c r="E1" s="85"/>
      <c r="F1" s="85"/>
      <c r="G1" s="85"/>
      <c r="H1" s="85"/>
      <c r="I1" s="85"/>
    </row>
    <row r="2" ht="66.0" customHeight="1">
      <c r="A2" s="13"/>
      <c r="B2" s="53" t="s">
        <v>7</v>
      </c>
      <c r="C2" s="86"/>
      <c r="E2" s="87" t="s">
        <v>53</v>
      </c>
      <c r="I2" s="13"/>
    </row>
    <row r="3" ht="12.0" customHeight="1">
      <c r="A3" s="49"/>
      <c r="B3" s="88"/>
      <c r="C3" s="88"/>
      <c r="D3" s="88"/>
      <c r="E3" s="88"/>
      <c r="F3" s="88"/>
      <c r="G3" s="88"/>
      <c r="H3" s="88"/>
      <c r="I3" s="49"/>
    </row>
    <row r="4" ht="12.0" customHeight="1">
      <c r="A4" s="49"/>
      <c r="B4" s="49"/>
      <c r="C4" s="49"/>
      <c r="D4" s="49"/>
      <c r="E4" s="49"/>
      <c r="F4" s="49"/>
      <c r="G4" s="49"/>
      <c r="H4" s="49"/>
      <c r="I4" s="49"/>
    </row>
    <row r="5" ht="21.0" customHeight="1">
      <c r="A5" s="89"/>
      <c r="B5" s="90" t="s">
        <v>54</v>
      </c>
      <c r="C5" s="90" t="s">
        <v>55</v>
      </c>
      <c r="D5" s="90" t="s">
        <v>56</v>
      </c>
      <c r="E5" s="90" t="s">
        <v>57</v>
      </c>
      <c r="F5" s="90" t="s">
        <v>58</v>
      </c>
      <c r="G5" s="91" t="s">
        <v>59</v>
      </c>
      <c r="H5" s="90" t="s">
        <v>37</v>
      </c>
      <c r="I5" s="89"/>
    </row>
    <row r="6" ht="21.0" customHeight="1">
      <c r="A6" s="76"/>
      <c r="B6" s="92" t="s">
        <v>60</v>
      </c>
      <c r="C6" s="73" t="s">
        <v>61</v>
      </c>
      <c r="D6" s="73" t="s">
        <v>62</v>
      </c>
      <c r="E6" s="73" t="s">
        <v>63</v>
      </c>
      <c r="F6" s="93" t="s">
        <v>64</v>
      </c>
      <c r="G6" s="94">
        <v>0.0</v>
      </c>
      <c r="H6" s="95"/>
      <c r="I6" s="49"/>
    </row>
    <row r="7" ht="21.0" customHeight="1">
      <c r="A7" s="76"/>
      <c r="B7" s="96"/>
      <c r="C7" s="97"/>
      <c r="D7" s="83"/>
      <c r="E7" s="65"/>
      <c r="F7" s="83"/>
      <c r="G7" s="98"/>
      <c r="H7" s="99"/>
      <c r="I7" s="49"/>
    </row>
    <row r="8" ht="21.0" customHeight="1">
      <c r="A8" s="76"/>
      <c r="B8" s="100"/>
      <c r="C8" s="101"/>
      <c r="D8" s="102"/>
      <c r="E8" s="69"/>
      <c r="F8" s="102"/>
      <c r="G8" s="103"/>
      <c r="H8" s="95"/>
      <c r="I8" s="49"/>
    </row>
    <row r="9" ht="21.0" customHeight="1">
      <c r="A9" s="49"/>
      <c r="B9" s="96"/>
      <c r="C9" s="104"/>
      <c r="D9" s="83"/>
      <c r="E9" s="83"/>
      <c r="F9" s="83"/>
      <c r="G9" s="105"/>
      <c r="H9" s="99"/>
      <c r="I9" s="49"/>
    </row>
    <row r="10" ht="21.0" customHeight="1">
      <c r="A10" s="49"/>
      <c r="B10" s="100"/>
      <c r="C10" s="106"/>
      <c r="D10" s="102"/>
      <c r="E10" s="102"/>
      <c r="F10" s="102"/>
      <c r="G10" s="107"/>
      <c r="H10" s="95"/>
      <c r="I10" s="49"/>
    </row>
    <row r="11" ht="21.0" customHeight="1">
      <c r="A11" s="49"/>
      <c r="B11" s="96"/>
      <c r="C11" s="104"/>
      <c r="D11" s="83"/>
      <c r="E11" s="83"/>
      <c r="F11" s="83"/>
      <c r="G11" s="105"/>
      <c r="H11" s="99"/>
      <c r="I11" s="49"/>
    </row>
    <row r="12" ht="21.0" customHeight="1">
      <c r="A12" s="49"/>
      <c r="B12" s="100"/>
      <c r="C12" s="106"/>
      <c r="D12" s="102"/>
      <c r="E12" s="69"/>
      <c r="F12" s="102"/>
      <c r="G12" s="103"/>
      <c r="H12" s="95"/>
      <c r="I12" s="49"/>
    </row>
    <row r="13" ht="21.0" customHeight="1">
      <c r="A13" s="49"/>
      <c r="B13" s="96"/>
      <c r="C13" s="104"/>
      <c r="D13" s="83"/>
      <c r="E13" s="83"/>
      <c r="F13" s="83"/>
      <c r="G13" s="105"/>
      <c r="H13" s="99"/>
      <c r="I13" s="49"/>
    </row>
    <row r="14" ht="21.0" customHeight="1">
      <c r="A14" s="49"/>
      <c r="B14" s="100"/>
      <c r="C14" s="106"/>
      <c r="D14" s="102"/>
      <c r="E14" s="102"/>
      <c r="F14" s="102"/>
      <c r="G14" s="107"/>
      <c r="H14" s="95"/>
      <c r="I14" s="49"/>
    </row>
    <row r="15" ht="21.0" customHeight="1">
      <c r="A15" s="49"/>
      <c r="B15" s="96"/>
      <c r="C15" s="104"/>
      <c r="D15" s="83"/>
      <c r="E15" s="83"/>
      <c r="F15" s="83"/>
      <c r="G15" s="105"/>
      <c r="H15" s="99"/>
      <c r="I15" s="49"/>
    </row>
    <row r="16" ht="21.0" customHeight="1">
      <c r="A16" s="49"/>
      <c r="B16" s="100"/>
      <c r="C16" s="106"/>
      <c r="D16" s="102"/>
      <c r="E16" s="102"/>
      <c r="F16" s="102"/>
      <c r="G16" s="107"/>
      <c r="H16" s="95"/>
      <c r="I16" s="49"/>
    </row>
    <row r="17" ht="21.0" customHeight="1">
      <c r="A17" s="76"/>
      <c r="B17" s="96"/>
      <c r="C17" s="97"/>
      <c r="D17" s="83"/>
      <c r="E17" s="65"/>
      <c r="F17" s="83"/>
      <c r="G17" s="98"/>
      <c r="H17" s="99"/>
      <c r="I17" s="49"/>
    </row>
    <row r="18" ht="21.0" customHeight="1">
      <c r="A18" s="49"/>
      <c r="B18" s="100"/>
      <c r="C18" s="101"/>
      <c r="D18" s="73"/>
      <c r="E18" s="73"/>
      <c r="F18" s="108"/>
      <c r="G18" s="103"/>
      <c r="H18" s="95"/>
      <c r="I18" s="49"/>
    </row>
    <row r="19" ht="21.0" customHeight="1">
      <c r="A19" s="49"/>
      <c r="B19" s="96"/>
      <c r="C19" s="97"/>
      <c r="D19" s="83"/>
      <c r="E19" s="65"/>
      <c r="F19" s="83"/>
      <c r="G19" s="98"/>
      <c r="H19" s="99"/>
      <c r="I19" s="49"/>
    </row>
    <row r="20" ht="21.0" customHeight="1">
      <c r="A20" s="49"/>
      <c r="B20" s="100"/>
      <c r="C20" s="101"/>
      <c r="D20" s="102"/>
      <c r="E20" s="69"/>
      <c r="F20" s="102"/>
      <c r="G20" s="103"/>
      <c r="H20" s="95"/>
      <c r="I20" s="49"/>
    </row>
    <row r="21" ht="21.0" customHeight="1">
      <c r="A21" s="49"/>
      <c r="B21" s="96"/>
      <c r="C21" s="104"/>
      <c r="D21" s="83"/>
      <c r="E21" s="83"/>
      <c r="F21" s="83"/>
      <c r="G21" s="105"/>
      <c r="H21" s="99"/>
      <c r="I21" s="49"/>
    </row>
    <row r="22" ht="21.0" customHeight="1">
      <c r="A22" s="49"/>
      <c r="B22" s="100"/>
      <c r="C22" s="106"/>
      <c r="D22" s="102"/>
      <c r="E22" s="102"/>
      <c r="F22" s="102"/>
      <c r="G22" s="107"/>
      <c r="H22" s="95"/>
      <c r="I22" s="49"/>
    </row>
    <row r="23" ht="21.0" customHeight="1">
      <c r="A23" s="49"/>
      <c r="B23" s="96"/>
      <c r="C23" s="104"/>
      <c r="D23" s="83"/>
      <c r="E23" s="83"/>
      <c r="F23" s="83"/>
      <c r="G23" s="105"/>
      <c r="H23" s="99"/>
      <c r="I23" s="49"/>
    </row>
    <row r="24" ht="21.0" customHeight="1">
      <c r="A24" s="49"/>
      <c r="B24" s="100"/>
      <c r="C24" s="106"/>
      <c r="D24" s="102"/>
      <c r="E24" s="102"/>
      <c r="F24" s="102"/>
      <c r="G24" s="107"/>
      <c r="H24" s="95"/>
      <c r="I24" s="49"/>
    </row>
    <row r="25" ht="21.0" customHeight="1">
      <c r="A25" s="49"/>
      <c r="B25" s="96"/>
      <c r="C25" s="104"/>
      <c r="D25" s="83"/>
      <c r="E25" s="83"/>
      <c r="F25" s="83"/>
      <c r="G25" s="105"/>
      <c r="H25" s="99"/>
      <c r="I25" s="49"/>
    </row>
    <row r="26" ht="21.0" customHeight="1">
      <c r="A26" s="49"/>
      <c r="B26" s="100"/>
      <c r="C26" s="106"/>
      <c r="D26" s="102"/>
      <c r="E26" s="102"/>
      <c r="F26" s="102"/>
      <c r="G26" s="107"/>
      <c r="H26" s="95"/>
      <c r="I26" s="49"/>
    </row>
    <row r="27" ht="21.0" customHeight="1">
      <c r="A27" s="49"/>
      <c r="B27" s="96"/>
      <c r="C27" s="104"/>
      <c r="D27" s="83"/>
      <c r="E27" s="83"/>
      <c r="F27" s="83"/>
      <c r="G27" s="105"/>
      <c r="H27" s="99"/>
      <c r="I27" s="49"/>
    </row>
    <row r="28" ht="21.0" customHeight="1">
      <c r="A28" s="49"/>
      <c r="B28" s="100"/>
      <c r="C28" s="106"/>
      <c r="D28" s="102"/>
      <c r="E28" s="102"/>
      <c r="F28" s="102"/>
      <c r="G28" s="107"/>
      <c r="H28" s="95"/>
      <c r="I28" s="49"/>
    </row>
    <row r="29" ht="21.0" customHeight="1">
      <c r="A29" s="49"/>
      <c r="B29" s="109"/>
      <c r="C29" s="110"/>
      <c r="D29" s="50"/>
      <c r="E29" s="50"/>
      <c r="F29" s="50"/>
      <c r="G29" s="111"/>
      <c r="H29" s="99"/>
      <c r="I29" s="49"/>
    </row>
  </sheetData>
  <mergeCells count="1">
    <mergeCell ref="E2:H2"/>
  </mergeCells>
  <hyperlinks>
    <hyperlink r:id="rId1" ref="F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89F38"/>
    <outlinePr summaryBelow="0" summaryRight="0"/>
  </sheetPr>
  <sheetViews>
    <sheetView showGridLines="0" workbookViewId="0"/>
  </sheetViews>
  <sheetFormatPr customHeight="1" defaultColWidth="12.63" defaultRowHeight="15.75"/>
  <cols>
    <col customWidth="1" min="1" max="1" width="5.13"/>
    <col customWidth="1" min="2" max="2" width="9.13"/>
    <col customWidth="1" min="3" max="3" width="1.13"/>
    <col customWidth="1" min="4" max="4" width="41.13"/>
    <col customWidth="1" min="5" max="5" width="33.13"/>
    <col customWidth="1" min="6" max="6" width="5.13"/>
  </cols>
  <sheetData>
    <row r="1" ht="6.0" customHeight="1">
      <c r="A1" s="52"/>
      <c r="B1" s="52"/>
      <c r="C1" s="52"/>
      <c r="D1" s="52"/>
      <c r="E1" s="112"/>
      <c r="F1" s="52"/>
    </row>
    <row r="2" ht="66.0" customHeight="1">
      <c r="A2" s="113"/>
      <c r="B2" s="114" t="s">
        <v>9</v>
      </c>
      <c r="F2" s="113"/>
    </row>
    <row r="3" ht="12.0" customHeight="1">
      <c r="A3" s="89"/>
      <c r="B3" s="115"/>
      <c r="C3" s="115"/>
      <c r="D3" s="115"/>
      <c r="E3" s="116"/>
      <c r="F3" s="89"/>
    </row>
    <row r="4" ht="12.0" customHeight="1">
      <c r="A4" s="89"/>
      <c r="B4" s="89"/>
      <c r="C4" s="89"/>
      <c r="D4" s="89"/>
      <c r="E4" s="117"/>
      <c r="F4" s="89"/>
    </row>
    <row r="5" ht="24.0" customHeight="1">
      <c r="A5" s="89"/>
      <c r="B5" s="118" t="s">
        <v>65</v>
      </c>
      <c r="C5" s="89"/>
      <c r="D5" s="119" t="s">
        <v>66</v>
      </c>
      <c r="E5" s="119" t="s">
        <v>37</v>
      </c>
      <c r="F5" s="89"/>
    </row>
    <row r="6" ht="21.0" customHeight="1">
      <c r="A6" s="49"/>
      <c r="B6" s="120" t="s">
        <v>67</v>
      </c>
      <c r="C6" s="121"/>
      <c r="D6" s="122"/>
      <c r="E6" s="123"/>
      <c r="F6" s="49"/>
    </row>
    <row r="7" ht="21.0" customHeight="1">
      <c r="A7" s="49"/>
      <c r="B7" s="124"/>
      <c r="C7" s="121"/>
      <c r="D7" s="125"/>
      <c r="E7" s="71"/>
      <c r="F7" s="49"/>
    </row>
    <row r="8" ht="21.0" customHeight="1">
      <c r="A8" s="49"/>
      <c r="B8" s="120"/>
      <c r="C8" s="121"/>
      <c r="D8" s="122"/>
      <c r="E8" s="126"/>
      <c r="F8" s="49"/>
    </row>
    <row r="9" ht="21.0" customHeight="1">
      <c r="A9" s="49"/>
      <c r="B9" s="124"/>
      <c r="C9" s="121"/>
      <c r="D9" s="125"/>
      <c r="E9" s="71"/>
      <c r="F9" s="49"/>
    </row>
    <row r="10" ht="21.0" customHeight="1">
      <c r="A10" s="49"/>
      <c r="B10" s="120"/>
      <c r="C10" s="121"/>
      <c r="D10" s="122"/>
      <c r="E10" s="126"/>
      <c r="F10" s="49"/>
    </row>
    <row r="11" ht="21.0" customHeight="1">
      <c r="A11" s="49"/>
      <c r="B11" s="124"/>
      <c r="C11" s="121"/>
      <c r="D11" s="125"/>
      <c r="E11" s="71"/>
      <c r="F11" s="49"/>
    </row>
    <row r="12" ht="21.0" customHeight="1">
      <c r="A12" s="49"/>
      <c r="B12" s="120"/>
      <c r="C12" s="121"/>
      <c r="D12" s="122"/>
      <c r="E12" s="126"/>
      <c r="F12" s="49"/>
    </row>
    <row r="13" ht="21.0" customHeight="1">
      <c r="A13" s="49"/>
      <c r="B13" s="124"/>
      <c r="C13" s="121"/>
      <c r="D13" s="125"/>
      <c r="E13" s="71"/>
      <c r="F13" s="49"/>
    </row>
    <row r="14" ht="21.0" customHeight="1">
      <c r="A14" s="49"/>
      <c r="B14" s="120"/>
      <c r="C14" s="121"/>
      <c r="D14" s="122"/>
      <c r="E14" s="126"/>
      <c r="F14" s="49"/>
    </row>
    <row r="15" ht="21.0" customHeight="1">
      <c r="A15" s="49"/>
      <c r="B15" s="124"/>
      <c r="C15" s="121"/>
      <c r="D15" s="125"/>
      <c r="E15" s="71"/>
      <c r="F15" s="49"/>
    </row>
    <row r="16" ht="21.0" customHeight="1">
      <c r="A16" s="49"/>
      <c r="B16" s="120"/>
      <c r="C16" s="121"/>
      <c r="D16" s="122"/>
      <c r="E16" s="126"/>
      <c r="F16" s="49"/>
    </row>
    <row r="17" ht="21.0" customHeight="1">
      <c r="A17" s="49"/>
      <c r="B17" s="124"/>
      <c r="C17" s="121"/>
      <c r="D17" s="125"/>
      <c r="E17" s="71"/>
      <c r="F17" s="49"/>
    </row>
    <row r="18" ht="21.0" customHeight="1">
      <c r="A18" s="49"/>
      <c r="B18" s="120"/>
      <c r="C18" s="121"/>
      <c r="D18" s="122"/>
      <c r="E18" s="126"/>
      <c r="F18" s="49"/>
    </row>
    <row r="19" ht="21.0" customHeight="1">
      <c r="A19" s="49"/>
      <c r="B19" s="124"/>
      <c r="C19" s="121"/>
      <c r="D19" s="125"/>
      <c r="E19" s="71"/>
      <c r="F19" s="49"/>
    </row>
    <row r="20" ht="21.0" customHeight="1">
      <c r="A20" s="49"/>
      <c r="B20" s="120"/>
      <c r="C20" s="121"/>
      <c r="D20" s="122"/>
      <c r="E20" s="126"/>
      <c r="F20" s="49"/>
    </row>
    <row r="21" ht="21.0" customHeight="1">
      <c r="A21" s="49"/>
      <c r="B21" s="124"/>
      <c r="C21" s="121"/>
      <c r="D21" s="125"/>
      <c r="E21" s="71"/>
      <c r="F21" s="49"/>
    </row>
    <row r="22" ht="21.0" customHeight="1">
      <c r="A22" s="49"/>
      <c r="B22" s="120"/>
      <c r="C22" s="121"/>
      <c r="D22" s="122"/>
      <c r="E22" s="126"/>
      <c r="F22" s="49"/>
    </row>
    <row r="23" ht="21.0" customHeight="1">
      <c r="A23" s="49"/>
      <c r="B23" s="124"/>
      <c r="C23" s="121"/>
      <c r="D23" s="125"/>
      <c r="E23" s="71"/>
      <c r="F23" s="49"/>
    </row>
    <row r="24" ht="21.0" customHeight="1">
      <c r="A24" s="49"/>
      <c r="B24" s="120"/>
      <c r="C24" s="121"/>
      <c r="D24" s="122"/>
      <c r="E24" s="126"/>
      <c r="F24" s="49"/>
    </row>
    <row r="25" ht="21.0" customHeight="1">
      <c r="A25" s="49"/>
      <c r="B25" s="124"/>
      <c r="C25" s="121"/>
      <c r="D25" s="125"/>
      <c r="E25" s="71"/>
      <c r="F25" s="49"/>
    </row>
    <row r="26" ht="21.0" customHeight="1">
      <c r="A26" s="49"/>
      <c r="B26" s="120"/>
      <c r="C26" s="121"/>
      <c r="D26" s="122"/>
      <c r="E26" s="126"/>
      <c r="F26" s="49"/>
    </row>
    <row r="27" ht="21.0" customHeight="1">
      <c r="A27" s="49"/>
      <c r="B27" s="124"/>
      <c r="C27" s="121"/>
      <c r="D27" s="125"/>
      <c r="E27" s="71"/>
      <c r="F27" s="49"/>
    </row>
    <row r="28" ht="21.0" customHeight="1">
      <c r="A28" s="49"/>
      <c r="B28" s="120"/>
      <c r="C28" s="121"/>
      <c r="D28" s="122"/>
      <c r="E28" s="126"/>
      <c r="F28" s="49"/>
    </row>
    <row r="29" ht="21.0" customHeight="1">
      <c r="A29" s="49"/>
      <c r="B29" s="124"/>
      <c r="C29" s="121"/>
      <c r="D29" s="125"/>
      <c r="E29" s="71"/>
      <c r="F29" s="49"/>
    </row>
    <row r="30" ht="21.0" customHeight="1">
      <c r="A30" s="49"/>
      <c r="B30" s="120"/>
      <c r="C30" s="121"/>
      <c r="D30" s="122"/>
      <c r="E30" s="126"/>
      <c r="F30" s="49"/>
    </row>
    <row r="31" ht="21.0" customHeight="1">
      <c r="A31" s="49"/>
      <c r="B31" s="124"/>
      <c r="C31" s="121"/>
      <c r="D31" s="125"/>
      <c r="E31" s="71"/>
      <c r="F31" s="49"/>
    </row>
    <row r="32" ht="21.0" customHeight="1">
      <c r="A32" s="49"/>
      <c r="B32" s="120"/>
      <c r="C32" s="121"/>
      <c r="D32" s="122"/>
      <c r="E32" s="126"/>
      <c r="F32" s="49"/>
    </row>
    <row r="33" ht="21.0" customHeight="1">
      <c r="A33" s="49"/>
      <c r="B33" s="124"/>
      <c r="C33" s="121"/>
      <c r="D33" s="125"/>
      <c r="E33" s="71"/>
      <c r="F33" s="49"/>
    </row>
    <row r="34" ht="21.0" customHeight="1">
      <c r="A34" s="49"/>
      <c r="B34" s="120"/>
      <c r="C34" s="121"/>
      <c r="D34" s="122"/>
      <c r="E34" s="126"/>
      <c r="F34" s="49"/>
    </row>
    <row r="35" ht="21.0" customHeight="1">
      <c r="A35" s="49"/>
      <c r="B35" s="124"/>
      <c r="C35" s="121"/>
      <c r="D35" s="125"/>
      <c r="E35" s="71"/>
      <c r="F35" s="49"/>
    </row>
    <row r="36" ht="21.0" customHeight="1">
      <c r="A36" s="49"/>
      <c r="B36" s="120"/>
      <c r="C36" s="121"/>
      <c r="D36" s="122"/>
      <c r="E36" s="126"/>
      <c r="F36" s="49"/>
    </row>
    <row r="37" ht="21.0" customHeight="1">
      <c r="A37" s="49"/>
      <c r="B37" s="124"/>
      <c r="C37" s="121"/>
      <c r="D37" s="125"/>
      <c r="E37" s="71"/>
      <c r="F37" s="49"/>
    </row>
    <row r="38" ht="21.0" customHeight="1">
      <c r="A38" s="49"/>
      <c r="B38" s="120"/>
      <c r="C38" s="121"/>
      <c r="D38" s="122"/>
      <c r="E38" s="126"/>
      <c r="F38" s="49"/>
    </row>
    <row r="39" ht="21.0" customHeight="1">
      <c r="A39" s="49"/>
      <c r="B39" s="124"/>
      <c r="C39" s="121"/>
      <c r="D39" s="125"/>
      <c r="E39" s="71"/>
      <c r="F39" s="49"/>
    </row>
    <row r="40" ht="21.0" customHeight="1">
      <c r="A40" s="49"/>
      <c r="B40" s="120"/>
      <c r="C40" s="121"/>
      <c r="D40" s="122"/>
      <c r="E40" s="126"/>
      <c r="F40" s="49"/>
    </row>
    <row r="41" ht="21.0" customHeight="1">
      <c r="A41" s="49"/>
      <c r="B41" s="124"/>
      <c r="C41" s="121"/>
      <c r="D41" s="125"/>
      <c r="E41" s="71"/>
      <c r="F41" s="49"/>
    </row>
    <row r="42" ht="21.0" customHeight="1">
      <c r="A42" s="49"/>
      <c r="B42" s="120"/>
      <c r="C42" s="121"/>
      <c r="D42" s="122"/>
      <c r="E42" s="126"/>
      <c r="F42" s="49"/>
    </row>
    <row r="43" ht="21.0" customHeight="1">
      <c r="A43" s="49"/>
      <c r="B43" s="124"/>
      <c r="C43" s="121"/>
      <c r="D43" s="125"/>
      <c r="E43" s="71"/>
      <c r="F43" s="49"/>
    </row>
    <row r="44" ht="21.0" customHeight="1">
      <c r="A44" s="49"/>
      <c r="B44" s="120"/>
      <c r="C44" s="121"/>
      <c r="D44" s="122"/>
      <c r="E44" s="126"/>
      <c r="F44" s="49"/>
    </row>
    <row r="45" ht="21.0" customHeight="1">
      <c r="A45" s="49"/>
      <c r="B45" s="124"/>
      <c r="C45" s="121"/>
      <c r="D45" s="125"/>
      <c r="E45" s="71"/>
      <c r="F45" s="49"/>
    </row>
  </sheetData>
  <mergeCells count="1">
    <mergeCell ref="B2:E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7C00"/>
    <outlinePr summaryBelow="0" summaryRight="0"/>
  </sheetPr>
  <sheetViews>
    <sheetView showGridLines="0" workbookViewId="0"/>
  </sheetViews>
  <sheetFormatPr customHeight="1" defaultColWidth="12.63" defaultRowHeight="15.75"/>
  <cols>
    <col customWidth="1" min="1" max="1" width="5.13"/>
    <col customWidth="1" min="2" max="2" width="17.38"/>
    <col customWidth="1" min="3" max="3" width="11.38"/>
    <col customWidth="1" min="4" max="4" width="10.88"/>
    <col customWidth="1" min="6" max="6" width="5.13"/>
  </cols>
  <sheetData>
    <row r="1" ht="6.0" customHeight="1">
      <c r="A1" s="127"/>
      <c r="B1" s="127"/>
      <c r="C1" s="127"/>
      <c r="D1" s="127"/>
      <c r="E1" s="127"/>
      <c r="F1" s="127"/>
    </row>
    <row r="2" ht="66.0" customHeight="1">
      <c r="A2" s="128"/>
      <c r="B2" s="129" t="s">
        <v>13</v>
      </c>
      <c r="F2" s="128"/>
    </row>
    <row r="3" ht="35.25" customHeight="1">
      <c r="A3" s="130"/>
      <c r="B3" s="131" t="s">
        <v>68</v>
      </c>
      <c r="F3" s="130"/>
    </row>
    <row r="4" ht="37.5" customHeight="1">
      <c r="A4" s="132"/>
      <c r="B4" s="133" t="s">
        <v>69</v>
      </c>
      <c r="F4" s="132"/>
    </row>
    <row r="5" ht="18.0" customHeight="1">
      <c r="A5" s="49"/>
      <c r="B5" s="134" t="s">
        <v>70</v>
      </c>
      <c r="C5" s="135">
        <v>25000.0</v>
      </c>
      <c r="D5" s="49"/>
      <c r="E5" s="45"/>
      <c r="F5" s="49"/>
    </row>
    <row r="6" ht="18.0" customHeight="1">
      <c r="A6" s="49"/>
      <c r="B6" s="49"/>
      <c r="C6" s="136"/>
      <c r="D6" s="136"/>
      <c r="E6" s="49"/>
      <c r="F6" s="49"/>
    </row>
    <row r="7" ht="18.0" customHeight="1">
      <c r="A7" s="137"/>
      <c r="B7" s="137"/>
      <c r="C7" s="138" t="s">
        <v>71</v>
      </c>
      <c r="D7" s="138" t="s">
        <v>72</v>
      </c>
      <c r="E7" s="138" t="s">
        <v>73</v>
      </c>
      <c r="F7" s="137"/>
    </row>
    <row r="8" ht="21.0" customHeight="1">
      <c r="A8" s="139"/>
      <c r="B8" s="140" t="s">
        <v>74</v>
      </c>
      <c r="C8" s="141">
        <f t="shared" ref="C8:E8" si="1">sum(C9:C27)</f>
        <v>25000</v>
      </c>
      <c r="D8" s="141">
        <f t="shared" si="1"/>
        <v>300</v>
      </c>
      <c r="E8" s="142">
        <f t="shared" si="1"/>
        <v>1</v>
      </c>
      <c r="F8" s="139"/>
    </row>
    <row r="9" ht="18.0" customHeight="1">
      <c r="A9" s="49"/>
      <c r="B9" s="143" t="s">
        <v>75</v>
      </c>
      <c r="C9" s="144">
        <v>500.0</v>
      </c>
      <c r="D9" s="145">
        <f>'Orçamento detalhado'!D10</f>
        <v>300</v>
      </c>
      <c r="E9" s="146">
        <f>C9/TotalBudget</f>
        <v>0.02</v>
      </c>
      <c r="F9" s="49"/>
    </row>
    <row r="10" ht="18.0" customHeight="1">
      <c r="A10" s="49"/>
      <c r="B10" s="143" t="s">
        <v>76</v>
      </c>
      <c r="C10" s="144">
        <v>750.0</v>
      </c>
      <c r="D10" s="145">
        <f>'Orçamento detalhado'!D17</f>
        <v>0</v>
      </c>
      <c r="E10" s="146">
        <f>C10/TotalBudget</f>
        <v>0.03</v>
      </c>
      <c r="F10" s="49"/>
    </row>
    <row r="11" ht="18.0" customHeight="1">
      <c r="A11" s="49"/>
      <c r="B11" s="143" t="s">
        <v>77</v>
      </c>
      <c r="C11" s="144">
        <v>750.0</v>
      </c>
      <c r="D11" s="145">
        <f>'Orçamento detalhado'!D25</f>
        <v>0</v>
      </c>
      <c r="E11" s="146">
        <f>C11/TotalBudget</f>
        <v>0.03</v>
      </c>
      <c r="F11" s="49"/>
    </row>
    <row r="12" ht="18.0" customHeight="1">
      <c r="A12" s="49"/>
      <c r="B12" s="143" t="s">
        <v>78</v>
      </c>
      <c r="C12" s="144">
        <v>750.0</v>
      </c>
      <c r="D12" s="145">
        <f>'Orçamento detalhado'!D33</f>
        <v>0</v>
      </c>
      <c r="E12" s="146">
        <f>C12/TotalBudget</f>
        <v>0.03</v>
      </c>
      <c r="F12" s="49"/>
    </row>
    <row r="13" ht="18.0" customHeight="1">
      <c r="A13" s="49"/>
      <c r="B13" s="143" t="s">
        <v>32</v>
      </c>
      <c r="C13" s="144">
        <v>2250.0</v>
      </c>
      <c r="D13" s="145">
        <f>'Orçamento detalhado'!D40</f>
        <v>0</v>
      </c>
      <c r="E13" s="146">
        <f>C13/TotalBudget</f>
        <v>0.09</v>
      </c>
      <c r="F13" s="49"/>
    </row>
    <row r="14" ht="18.0" customHeight="1">
      <c r="A14" s="49"/>
      <c r="B14" s="143" t="s">
        <v>6</v>
      </c>
      <c r="C14" s="144">
        <v>2250.0</v>
      </c>
      <c r="D14" s="145">
        <f>'Orçamento detalhado'!D47</f>
        <v>0</v>
      </c>
      <c r="E14" s="146">
        <f>C14/TotalBudget</f>
        <v>0.09</v>
      </c>
      <c r="F14" s="49"/>
    </row>
    <row r="15" ht="18.0" customHeight="1">
      <c r="A15" s="49"/>
      <c r="B15" s="143" t="s">
        <v>79</v>
      </c>
      <c r="C15" s="144">
        <v>500.0</v>
      </c>
      <c r="D15" s="145">
        <f>'Orçamento detalhado'!D53</f>
        <v>0</v>
      </c>
      <c r="E15" s="146">
        <f>C15/TotalBudget</f>
        <v>0.02</v>
      </c>
      <c r="F15" s="49"/>
    </row>
    <row r="16" ht="18.0" customHeight="1">
      <c r="A16" s="49"/>
      <c r="B16" s="143" t="s">
        <v>8</v>
      </c>
      <c r="C16" s="144">
        <v>250.0</v>
      </c>
      <c r="D16" s="145">
        <f>'Orçamento detalhado'!D59</f>
        <v>0</v>
      </c>
      <c r="E16" s="146">
        <f>C16/TotalBudget</f>
        <v>0.01</v>
      </c>
      <c r="F16" s="49"/>
    </row>
    <row r="17" ht="18.0" customHeight="1">
      <c r="A17" s="49"/>
      <c r="B17" s="143" t="s">
        <v>10</v>
      </c>
      <c r="C17" s="144">
        <v>2000.0</v>
      </c>
      <c r="D17" s="145">
        <f>'Orçamento detalhado'!D66</f>
        <v>0</v>
      </c>
      <c r="E17" s="146">
        <f>C17/TotalBudget</f>
        <v>0.08</v>
      </c>
      <c r="F17" s="49"/>
    </row>
    <row r="18" ht="18.0" customHeight="1">
      <c r="A18" s="49"/>
      <c r="B18" s="143" t="s">
        <v>80</v>
      </c>
      <c r="C18" s="144">
        <v>500.0</v>
      </c>
      <c r="D18" s="145">
        <f>'Orçamento detalhado'!D72</f>
        <v>0</v>
      </c>
      <c r="E18" s="146">
        <f>C18/TotalBudget</f>
        <v>0.02</v>
      </c>
      <c r="F18" s="49"/>
    </row>
    <row r="19" ht="18.0" customHeight="1">
      <c r="A19" s="49"/>
      <c r="B19" s="143" t="s">
        <v>81</v>
      </c>
      <c r="C19" s="144">
        <v>8500.0</v>
      </c>
      <c r="D19" s="145">
        <f>'Orçamento detalhado'!D79</f>
        <v>0</v>
      </c>
      <c r="E19" s="146">
        <f>C19/TotalBudget</f>
        <v>0.34</v>
      </c>
      <c r="F19" s="49"/>
    </row>
    <row r="20" ht="18.0" customHeight="1">
      <c r="A20" s="49"/>
      <c r="B20" s="143" t="s">
        <v>82</v>
      </c>
      <c r="C20" s="144">
        <v>3000.0</v>
      </c>
      <c r="D20" s="145">
        <f>'Orçamento detalhado'!D87</f>
        <v>0</v>
      </c>
      <c r="E20" s="146">
        <f>C20/TotalBudget</f>
        <v>0.12</v>
      </c>
      <c r="F20" s="49"/>
    </row>
    <row r="21" ht="18.0" customHeight="1">
      <c r="A21" s="49"/>
      <c r="B21" s="143" t="s">
        <v>28</v>
      </c>
      <c r="C21" s="144">
        <v>1750.0</v>
      </c>
      <c r="D21" s="145">
        <f>'Orçamento detalhado'!D94</f>
        <v>0</v>
      </c>
      <c r="E21" s="146">
        <f>C21/TotalBudget</f>
        <v>0.07</v>
      </c>
      <c r="F21" s="49"/>
    </row>
    <row r="22" ht="18.0" customHeight="1">
      <c r="A22" s="49"/>
      <c r="B22" s="147" t="s">
        <v>83</v>
      </c>
      <c r="C22" s="148">
        <v>1250.0</v>
      </c>
      <c r="D22" s="149">
        <f>'Orçamento detalhado'!D101</f>
        <v>0</v>
      </c>
      <c r="E22" s="150">
        <f>C22/TotalBudget</f>
        <v>0.05</v>
      </c>
      <c r="F22" s="49"/>
    </row>
    <row r="23" ht="18.0" customHeight="1">
      <c r="A23" s="49"/>
      <c r="B23" s="143" t="s">
        <v>84</v>
      </c>
      <c r="C23" s="151"/>
      <c r="D23" s="152"/>
      <c r="E23" s="146">
        <f>C23/TotalBudget</f>
        <v>0</v>
      </c>
      <c r="F23" s="49"/>
    </row>
    <row r="24" ht="18.0" customHeight="1">
      <c r="A24" s="49"/>
      <c r="B24" s="143" t="s">
        <v>85</v>
      </c>
      <c r="C24" s="121"/>
      <c r="D24" s="153"/>
      <c r="E24" s="146">
        <f>C24/TotalBudget</f>
        <v>0</v>
      </c>
      <c r="F24" s="49"/>
    </row>
    <row r="25" ht="18.0" customHeight="1">
      <c r="A25" s="49"/>
      <c r="B25" s="143" t="s">
        <v>86</v>
      </c>
      <c r="C25" s="121"/>
      <c r="D25" s="153"/>
      <c r="E25" s="146">
        <f>C25/TotalBudget</f>
        <v>0</v>
      </c>
      <c r="F25" s="49"/>
    </row>
    <row r="26" ht="18.0" customHeight="1">
      <c r="A26" s="49"/>
      <c r="B26" s="143" t="s">
        <v>87</v>
      </c>
      <c r="C26" s="121"/>
      <c r="D26" s="153"/>
      <c r="E26" s="146">
        <f>C26/TotalBudget</f>
        <v>0</v>
      </c>
      <c r="F26" s="49"/>
    </row>
    <row r="27" ht="18.0" hidden="1" customHeight="1">
      <c r="A27" s="49"/>
      <c r="B27" s="49"/>
      <c r="C27" s="121"/>
      <c r="D27" s="154"/>
      <c r="E27" s="49"/>
      <c r="F27" s="49"/>
    </row>
  </sheetData>
  <mergeCells count="3">
    <mergeCell ref="B2:E2"/>
    <mergeCell ref="B3:E3"/>
    <mergeCell ref="B4:E4"/>
  </mergeCells>
  <conditionalFormatting sqref="C8">
    <cfRule type="cellIs" dxfId="1" priority="1" operator="greaterThan">
      <formula>C5</formula>
    </cfRule>
  </conditionalFormatting>
  <conditionalFormatting sqref="B9:E27">
    <cfRule type="expression" dxfId="2" priority="2">
      <formula>isodd(row())</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7C00"/>
    <outlinePr summaryBelow="0" summaryRight="0"/>
  </sheetPr>
  <sheetViews>
    <sheetView showGridLines="0" workbookViewId="0"/>
  </sheetViews>
  <sheetFormatPr customHeight="1" defaultColWidth="12.63" defaultRowHeight="15.75"/>
  <cols>
    <col customWidth="1" min="1" max="1" width="5.13"/>
    <col customWidth="1" min="2" max="2" width="34.5"/>
    <col customWidth="1" min="4" max="4" width="12.63"/>
    <col customWidth="1" min="5" max="5" width="5.13"/>
  </cols>
  <sheetData>
    <row r="1" ht="6.0" customHeight="1">
      <c r="A1" s="127"/>
      <c r="B1" s="127"/>
      <c r="C1" s="127"/>
      <c r="D1" s="127"/>
      <c r="E1" s="127"/>
    </row>
    <row r="2" ht="66.0" customHeight="1">
      <c r="A2" s="128"/>
      <c r="B2" s="129" t="s">
        <v>15</v>
      </c>
      <c r="E2" s="155"/>
    </row>
    <row r="3" ht="83.25" customHeight="1">
      <c r="A3" s="156"/>
      <c r="B3" s="157" t="s">
        <v>88</v>
      </c>
      <c r="E3" s="156"/>
    </row>
    <row r="4" ht="18.0" customHeight="1">
      <c r="A4" s="130"/>
      <c r="B4" s="158"/>
      <c r="C4" s="130"/>
      <c r="D4" s="130"/>
      <c r="E4" s="130"/>
    </row>
    <row r="5" ht="18.0" customHeight="1">
      <c r="A5" s="159"/>
      <c r="B5" s="160" t="str">
        <f>'Estimativa de orçamento'!$B$9</f>
        <v>Cerimônia</v>
      </c>
      <c r="C5" s="161" t="s">
        <v>71</v>
      </c>
      <c r="D5" s="161" t="s">
        <v>72</v>
      </c>
      <c r="E5" s="159"/>
    </row>
    <row r="6" ht="18.0" customHeight="1">
      <c r="A6" s="159"/>
      <c r="B6" s="162" t="s">
        <v>89</v>
      </c>
      <c r="C6" s="163">
        <v>150.0</v>
      </c>
      <c r="D6" s="164">
        <v>300.0</v>
      </c>
      <c r="E6" s="159"/>
    </row>
    <row r="7" ht="18.0" customHeight="1">
      <c r="A7" s="159"/>
      <c r="B7" s="162" t="s">
        <v>90</v>
      </c>
      <c r="C7" s="163">
        <v>250.0</v>
      </c>
      <c r="D7" s="163">
        <v>0.0</v>
      </c>
      <c r="E7" s="159"/>
    </row>
    <row r="8" ht="18.0" customHeight="1">
      <c r="A8" s="159"/>
      <c r="B8" s="165"/>
      <c r="C8" s="166"/>
      <c r="D8" s="166"/>
      <c r="E8" s="159"/>
    </row>
    <row r="9" ht="18.0" customHeight="1">
      <c r="A9" s="130"/>
      <c r="B9" s="167" t="s">
        <v>91</v>
      </c>
      <c r="C9" s="167" t="s">
        <v>92</v>
      </c>
      <c r="D9" s="167" t="s">
        <v>93</v>
      </c>
      <c r="E9" s="130"/>
    </row>
    <row r="10" ht="18.0" customHeight="1">
      <c r="A10" s="168"/>
      <c r="B10" s="169">
        <f>'Estimativa de orçamento'!$C$9</f>
        <v>500</v>
      </c>
      <c r="C10" s="169">
        <f t="shared" ref="C10:D10" si="1">sum(C6:C8)</f>
        <v>400</v>
      </c>
      <c r="D10" s="170">
        <f t="shared" si="1"/>
        <v>300</v>
      </c>
      <c r="E10" s="168"/>
    </row>
    <row r="11" ht="30.0" customHeight="1">
      <c r="A11" s="130"/>
      <c r="B11" s="158"/>
      <c r="C11" s="130"/>
      <c r="D11" s="130"/>
      <c r="E11" s="130"/>
    </row>
    <row r="12" ht="18.0" customHeight="1">
      <c r="A12" s="159"/>
      <c r="B12" s="160" t="str">
        <f>'Estimativa de orçamento'!$B$10</f>
        <v>Festa</v>
      </c>
      <c r="C12" s="161" t="s">
        <v>71</v>
      </c>
      <c r="D12" s="161" t="s">
        <v>72</v>
      </c>
      <c r="E12" s="159"/>
    </row>
    <row r="13" ht="18.0" customHeight="1">
      <c r="A13" s="159"/>
      <c r="B13" s="162" t="s">
        <v>94</v>
      </c>
      <c r="C13" s="163">
        <v>500.0</v>
      </c>
      <c r="D13" s="163">
        <v>0.0</v>
      </c>
      <c r="E13" s="159"/>
    </row>
    <row r="14" ht="18.0" customHeight="1">
      <c r="A14" s="159"/>
      <c r="B14" s="162" t="s">
        <v>95</v>
      </c>
      <c r="C14" s="163">
        <v>250.0</v>
      </c>
      <c r="D14" s="163">
        <v>0.0</v>
      </c>
      <c r="E14" s="159"/>
    </row>
    <row r="15" ht="18.0" customHeight="1">
      <c r="A15" s="159"/>
      <c r="B15" s="165"/>
      <c r="C15" s="166"/>
      <c r="D15" s="166"/>
      <c r="E15" s="159"/>
    </row>
    <row r="16" ht="18.0" customHeight="1">
      <c r="A16" s="130"/>
      <c r="B16" s="167" t="s">
        <v>91</v>
      </c>
      <c r="C16" s="167" t="s">
        <v>92</v>
      </c>
      <c r="D16" s="167" t="s">
        <v>93</v>
      </c>
      <c r="E16" s="130"/>
    </row>
    <row r="17" ht="18.0" customHeight="1">
      <c r="A17" s="168"/>
      <c r="B17" s="169">
        <f>'Estimativa de orçamento'!$C$10</f>
        <v>750</v>
      </c>
      <c r="C17" s="169">
        <f t="shared" ref="C17:D17" si="2">sum(C13:C15)</f>
        <v>750</v>
      </c>
      <c r="D17" s="170">
        <f t="shared" si="2"/>
        <v>0</v>
      </c>
      <c r="E17" s="168"/>
    </row>
    <row r="18" ht="30.0" customHeight="1">
      <c r="A18" s="130"/>
      <c r="B18" s="158"/>
      <c r="C18" s="130"/>
      <c r="D18" s="130"/>
      <c r="E18" s="130"/>
    </row>
    <row r="19" ht="18.0" customHeight="1">
      <c r="A19" s="159"/>
      <c r="B19" s="160" t="str">
        <f>'Estimativa de orçamento'!$B$11</f>
        <v>Materiais impressos</v>
      </c>
      <c r="C19" s="161" t="s">
        <v>71</v>
      </c>
      <c r="D19" s="161" t="s">
        <v>72</v>
      </c>
      <c r="E19" s="159"/>
    </row>
    <row r="20" ht="18.0" customHeight="1">
      <c r="A20" s="159"/>
      <c r="B20" s="162" t="s">
        <v>96</v>
      </c>
      <c r="C20" s="163">
        <v>100.0</v>
      </c>
      <c r="D20" s="163">
        <v>0.0</v>
      </c>
      <c r="E20" s="159"/>
    </row>
    <row r="21" ht="18.0" customHeight="1">
      <c r="A21" s="159"/>
      <c r="B21" s="162" t="s">
        <v>23</v>
      </c>
      <c r="C21" s="163">
        <v>625.0</v>
      </c>
      <c r="D21" s="163">
        <v>0.0</v>
      </c>
      <c r="E21" s="159"/>
    </row>
    <row r="22" ht="18.0" customHeight="1">
      <c r="A22" s="159"/>
      <c r="B22" s="162" t="s">
        <v>97</v>
      </c>
      <c r="C22" s="163">
        <v>100.0</v>
      </c>
      <c r="D22" s="163">
        <v>0.0</v>
      </c>
      <c r="E22" s="159"/>
    </row>
    <row r="23" ht="18.0" customHeight="1">
      <c r="A23" s="159"/>
      <c r="B23" s="165"/>
      <c r="C23" s="166"/>
      <c r="D23" s="166"/>
      <c r="E23" s="159"/>
    </row>
    <row r="24" ht="18.0" customHeight="1">
      <c r="A24" s="130"/>
      <c r="B24" s="167" t="s">
        <v>91</v>
      </c>
      <c r="C24" s="167" t="s">
        <v>92</v>
      </c>
      <c r="D24" s="167" t="s">
        <v>93</v>
      </c>
      <c r="E24" s="130"/>
    </row>
    <row r="25" ht="18.0" customHeight="1">
      <c r="A25" s="168"/>
      <c r="B25" s="171">
        <f>'Estimativa de orçamento'!$C$11</f>
        <v>750</v>
      </c>
      <c r="C25" s="171">
        <f t="shared" ref="C25:D25" si="3">sum(C20:C23)</f>
        <v>825</v>
      </c>
      <c r="D25" s="172">
        <f t="shared" si="3"/>
        <v>0</v>
      </c>
      <c r="E25" s="168"/>
    </row>
    <row r="26" ht="30.0" customHeight="1">
      <c r="A26" s="130"/>
      <c r="B26" s="130"/>
      <c r="C26" s="130"/>
      <c r="D26" s="130"/>
      <c r="E26" s="130"/>
    </row>
    <row r="27" ht="18.0" customHeight="1">
      <c r="A27" s="159"/>
      <c r="B27" s="160" t="str">
        <f>'Estimativa de orçamento'!$B$12</f>
        <v>Presentes/lembranças</v>
      </c>
      <c r="C27" s="161" t="s">
        <v>71</v>
      </c>
      <c r="D27" s="161" t="s">
        <v>72</v>
      </c>
      <c r="E27" s="159"/>
    </row>
    <row r="28" ht="18.0" customHeight="1">
      <c r="A28" s="159"/>
      <c r="B28" s="162" t="s">
        <v>98</v>
      </c>
      <c r="C28" s="173">
        <v>250.0</v>
      </c>
      <c r="D28" s="173">
        <v>0.0</v>
      </c>
      <c r="E28" s="159"/>
    </row>
    <row r="29" ht="18.0" customHeight="1">
      <c r="A29" s="159"/>
      <c r="B29" s="162" t="s">
        <v>99</v>
      </c>
      <c r="C29" s="173">
        <v>375.0</v>
      </c>
      <c r="D29" s="173">
        <v>0.0</v>
      </c>
      <c r="E29" s="159"/>
    </row>
    <row r="30" ht="18.0" customHeight="1">
      <c r="A30" s="159"/>
      <c r="B30" s="162" t="s">
        <v>100</v>
      </c>
      <c r="C30" s="173">
        <v>125.0</v>
      </c>
      <c r="D30" s="173">
        <v>0.0</v>
      </c>
      <c r="E30" s="159"/>
    </row>
    <row r="31" ht="18.0" customHeight="1">
      <c r="A31" s="159"/>
      <c r="B31" s="165"/>
      <c r="C31" s="166"/>
      <c r="D31" s="166"/>
      <c r="E31" s="159"/>
    </row>
    <row r="32" ht="18.0" customHeight="1">
      <c r="A32" s="130"/>
      <c r="B32" s="167" t="s">
        <v>91</v>
      </c>
      <c r="C32" s="167" t="s">
        <v>92</v>
      </c>
      <c r="D32" s="167" t="s">
        <v>93</v>
      </c>
      <c r="E32" s="130"/>
    </row>
    <row r="33" ht="18.0" customHeight="1">
      <c r="A33" s="168"/>
      <c r="B33" s="171">
        <f>'Estimativa de orçamento'!$C$12</f>
        <v>750</v>
      </c>
      <c r="C33" s="171">
        <f t="shared" ref="C33:D33" si="4">sum(C28:C31)</f>
        <v>750</v>
      </c>
      <c r="D33" s="172">
        <f t="shared" si="4"/>
        <v>0</v>
      </c>
      <c r="E33" s="168"/>
    </row>
    <row r="34" ht="30.0" customHeight="1">
      <c r="A34" s="130"/>
      <c r="B34" s="130"/>
      <c r="C34" s="130"/>
      <c r="D34" s="130"/>
      <c r="E34" s="130"/>
    </row>
    <row r="35" ht="18.0" customHeight="1">
      <c r="A35" s="159"/>
      <c r="B35" s="160" t="str">
        <f>'Estimativa de orçamento'!$B$13</f>
        <v>Local</v>
      </c>
      <c r="C35" s="161" t="s">
        <v>71</v>
      </c>
      <c r="D35" s="161" t="s">
        <v>72</v>
      </c>
      <c r="E35" s="159"/>
    </row>
    <row r="36" ht="18.0" customHeight="1">
      <c r="A36" s="159"/>
      <c r="B36" s="162" t="s">
        <v>90</v>
      </c>
      <c r="C36" s="173">
        <v>2000.0</v>
      </c>
      <c r="D36" s="173">
        <v>0.0</v>
      </c>
      <c r="E36" s="159"/>
    </row>
    <row r="37" ht="18.0" customHeight="1">
      <c r="A37" s="159"/>
      <c r="B37" s="162" t="s">
        <v>101</v>
      </c>
      <c r="C37" s="173">
        <v>250.0</v>
      </c>
      <c r="D37" s="173">
        <v>0.0</v>
      </c>
      <c r="E37" s="159"/>
    </row>
    <row r="38" ht="18.0" customHeight="1">
      <c r="A38" s="159"/>
      <c r="B38" s="165"/>
      <c r="C38" s="166"/>
      <c r="D38" s="166"/>
      <c r="E38" s="159"/>
    </row>
    <row r="39" ht="18.0" customHeight="1">
      <c r="A39" s="130"/>
      <c r="B39" s="167" t="s">
        <v>91</v>
      </c>
      <c r="C39" s="167" t="s">
        <v>92</v>
      </c>
      <c r="D39" s="167" t="s">
        <v>93</v>
      </c>
      <c r="E39" s="130"/>
    </row>
    <row r="40" ht="18.0" customHeight="1">
      <c r="A40" s="168"/>
      <c r="B40" s="171">
        <f>'Estimativa de orçamento'!$C$13</f>
        <v>2250</v>
      </c>
      <c r="C40" s="171">
        <f t="shared" ref="C40:D40" si="5">sum(C36:C38)</f>
        <v>2250</v>
      </c>
      <c r="D40" s="172">
        <f t="shared" si="5"/>
        <v>0</v>
      </c>
      <c r="E40" s="168"/>
    </row>
    <row r="41" ht="30.0" customHeight="1">
      <c r="A41" s="130"/>
      <c r="B41" s="130"/>
      <c r="C41" s="130"/>
      <c r="D41" s="130"/>
      <c r="E41" s="130"/>
    </row>
    <row r="42" ht="18.0" customHeight="1">
      <c r="A42" s="159"/>
      <c r="B42" s="160" t="str">
        <f>'Estimativa de orçamento'!$B$14</f>
        <v>Trajes</v>
      </c>
      <c r="C42" s="161" t="s">
        <v>71</v>
      </c>
      <c r="D42" s="161" t="s">
        <v>72</v>
      </c>
      <c r="E42" s="159"/>
    </row>
    <row r="43" ht="18.0" customHeight="1">
      <c r="A43" s="159"/>
      <c r="B43" s="162" t="s">
        <v>102</v>
      </c>
      <c r="C43" s="173">
        <v>2000.0</v>
      </c>
      <c r="D43" s="174">
        <v>0.0</v>
      </c>
      <c r="E43" s="159"/>
    </row>
    <row r="44" ht="18.0" customHeight="1">
      <c r="A44" s="159"/>
      <c r="B44" s="162" t="s">
        <v>103</v>
      </c>
      <c r="C44" s="173">
        <v>250.0</v>
      </c>
      <c r="D44" s="174">
        <v>0.0</v>
      </c>
      <c r="E44" s="159"/>
    </row>
    <row r="45" ht="18.0" customHeight="1">
      <c r="A45" s="159"/>
      <c r="B45" s="165"/>
      <c r="C45" s="166"/>
      <c r="D45" s="166"/>
      <c r="E45" s="159"/>
    </row>
    <row r="46" ht="18.0" customHeight="1">
      <c r="A46" s="130"/>
      <c r="B46" s="167" t="s">
        <v>91</v>
      </c>
      <c r="C46" s="167" t="s">
        <v>92</v>
      </c>
      <c r="D46" s="167" t="s">
        <v>93</v>
      </c>
      <c r="E46" s="130"/>
    </row>
    <row r="47" ht="18.0" customHeight="1">
      <c r="A47" s="168"/>
      <c r="B47" s="171">
        <f>'Estimativa de orçamento'!$C$14</f>
        <v>2250</v>
      </c>
      <c r="C47" s="171">
        <f t="shared" ref="C47:D47" si="6">sum(C43:C45)</f>
        <v>2250</v>
      </c>
      <c r="D47" s="172">
        <f t="shared" si="6"/>
        <v>0</v>
      </c>
      <c r="E47" s="168"/>
    </row>
    <row r="48" ht="30.0" customHeight="1">
      <c r="A48" s="130"/>
      <c r="B48" s="130"/>
      <c r="C48" s="130"/>
      <c r="D48" s="130"/>
      <c r="E48" s="130"/>
    </row>
    <row r="49" ht="18.0" customHeight="1">
      <c r="A49" s="159"/>
      <c r="B49" s="160" t="str">
        <f>'Estimativa de orçamento'!$B$15</f>
        <v>Alianças</v>
      </c>
      <c r="C49" s="161" t="s">
        <v>71</v>
      </c>
      <c r="D49" s="161" t="s">
        <v>72</v>
      </c>
      <c r="E49" s="159"/>
    </row>
    <row r="50" ht="18.0" customHeight="1">
      <c r="A50" s="159"/>
      <c r="B50" s="162" t="s">
        <v>104</v>
      </c>
      <c r="C50" s="173">
        <v>500.0</v>
      </c>
      <c r="D50" s="174">
        <v>0.0</v>
      </c>
      <c r="E50" s="159"/>
    </row>
    <row r="51" ht="18.0" customHeight="1">
      <c r="A51" s="159"/>
      <c r="B51" s="165"/>
      <c r="C51" s="166"/>
      <c r="D51" s="166"/>
      <c r="E51" s="159"/>
    </row>
    <row r="52" ht="18.0" customHeight="1">
      <c r="A52" s="130"/>
      <c r="B52" s="167" t="s">
        <v>91</v>
      </c>
      <c r="C52" s="167" t="s">
        <v>92</v>
      </c>
      <c r="D52" s="167" t="s">
        <v>93</v>
      </c>
      <c r="E52" s="130"/>
    </row>
    <row r="53" ht="18.0" customHeight="1">
      <c r="A53" s="168"/>
      <c r="B53" s="171">
        <f>'Estimativa de orçamento'!$C$15</f>
        <v>500</v>
      </c>
      <c r="C53" s="171">
        <f t="shared" ref="C53:D53" si="7">sum(C50:C51)</f>
        <v>500</v>
      </c>
      <c r="D53" s="172">
        <f t="shared" si="7"/>
        <v>0</v>
      </c>
      <c r="E53" s="168"/>
    </row>
    <row r="54" ht="30.0" customHeight="1">
      <c r="A54" s="130"/>
      <c r="B54" s="130"/>
      <c r="C54" s="130"/>
      <c r="D54" s="130"/>
      <c r="E54" s="130"/>
    </row>
    <row r="55" ht="18.0" customHeight="1">
      <c r="A55" s="159"/>
      <c r="B55" s="160" t="str">
        <f>'Estimativa de orçamento'!$B$16</f>
        <v>Cabelo e maquiagem</v>
      </c>
      <c r="C55" s="161" t="s">
        <v>71</v>
      </c>
      <c r="D55" s="161" t="s">
        <v>72</v>
      </c>
      <c r="E55" s="159"/>
    </row>
    <row r="56" ht="18.0" customHeight="1">
      <c r="A56" s="159"/>
      <c r="B56" s="162" t="s">
        <v>105</v>
      </c>
      <c r="C56" s="173">
        <v>250.0</v>
      </c>
      <c r="D56" s="174">
        <v>0.0</v>
      </c>
      <c r="E56" s="159"/>
    </row>
    <row r="57" ht="18.0" customHeight="1">
      <c r="A57" s="159"/>
      <c r="B57" s="165"/>
      <c r="C57" s="166"/>
      <c r="D57" s="166"/>
      <c r="E57" s="159"/>
    </row>
    <row r="58" ht="18.0" customHeight="1">
      <c r="A58" s="130"/>
      <c r="B58" s="167" t="s">
        <v>91</v>
      </c>
      <c r="C58" s="167" t="s">
        <v>92</v>
      </c>
      <c r="D58" s="167" t="s">
        <v>93</v>
      </c>
      <c r="E58" s="130"/>
    </row>
    <row r="59" ht="18.0" customHeight="1">
      <c r="A59" s="168"/>
      <c r="B59" s="171">
        <f>'Estimativa de orçamento'!$C$16</f>
        <v>250</v>
      </c>
      <c r="C59" s="171">
        <f>sum(C56:C57)</f>
        <v>250</v>
      </c>
      <c r="D59" s="172">
        <f>SUM(D56:D57)</f>
        <v>0</v>
      </c>
      <c r="E59" s="168"/>
    </row>
    <row r="60" ht="30.0" customHeight="1">
      <c r="A60" s="130"/>
      <c r="B60" s="130"/>
      <c r="C60" s="130"/>
      <c r="D60" s="130"/>
      <c r="E60" s="130"/>
    </row>
    <row r="61" ht="18.0" customHeight="1">
      <c r="A61" s="159"/>
      <c r="B61" s="160" t="str">
        <f>'Estimativa de orçamento'!$B$17</f>
        <v>Flores</v>
      </c>
      <c r="C61" s="161" t="s">
        <v>71</v>
      </c>
      <c r="D61" s="161" t="s">
        <v>72</v>
      </c>
      <c r="E61" s="159"/>
    </row>
    <row r="62" ht="18.0" customHeight="1">
      <c r="A62" s="159"/>
      <c r="B62" s="162" t="s">
        <v>106</v>
      </c>
      <c r="C62" s="173">
        <v>1000.0</v>
      </c>
      <c r="D62" s="174">
        <v>0.0</v>
      </c>
      <c r="E62" s="159"/>
    </row>
    <row r="63" ht="18.0" customHeight="1">
      <c r="A63" s="159"/>
      <c r="B63" s="162" t="s">
        <v>107</v>
      </c>
      <c r="C63" s="173">
        <v>1000.0</v>
      </c>
      <c r="D63" s="174">
        <v>0.0</v>
      </c>
      <c r="E63" s="159"/>
    </row>
    <row r="64" ht="18.0" customHeight="1">
      <c r="A64" s="159"/>
      <c r="B64" s="165"/>
      <c r="C64" s="166"/>
      <c r="D64" s="166"/>
      <c r="E64" s="159"/>
    </row>
    <row r="65" ht="18.0" customHeight="1">
      <c r="A65" s="130"/>
      <c r="B65" s="167" t="s">
        <v>91</v>
      </c>
      <c r="C65" s="167" t="s">
        <v>92</v>
      </c>
      <c r="D65" s="167" t="s">
        <v>93</v>
      </c>
      <c r="E65" s="130"/>
    </row>
    <row r="66" ht="18.0" customHeight="1">
      <c r="A66" s="168"/>
      <c r="B66" s="171">
        <f>'Estimativa de orçamento'!$C$17</f>
        <v>2000</v>
      </c>
      <c r="C66" s="171">
        <f>sum(C62:C64)</f>
        <v>2000</v>
      </c>
      <c r="D66" s="172">
        <f>SUM(D62:D64)</f>
        <v>0</v>
      </c>
      <c r="E66" s="168"/>
    </row>
    <row r="67" ht="30.0" customHeight="1">
      <c r="A67" s="130"/>
      <c r="B67" s="175"/>
      <c r="C67" s="130"/>
      <c r="D67" s="130"/>
      <c r="E67" s="130"/>
    </row>
    <row r="68" ht="18.0" customHeight="1">
      <c r="A68" s="159"/>
      <c r="B68" s="160" t="str">
        <f>'Estimativa de orçamento'!$B$18</f>
        <v>Bolo</v>
      </c>
      <c r="C68" s="161" t="s">
        <v>71</v>
      </c>
      <c r="D68" s="161" t="s">
        <v>72</v>
      </c>
      <c r="E68" s="159"/>
    </row>
    <row r="69" ht="18.0" customHeight="1">
      <c r="A69" s="159"/>
      <c r="B69" s="162" t="s">
        <v>108</v>
      </c>
      <c r="C69" s="173">
        <v>0.0</v>
      </c>
      <c r="D69" s="173">
        <v>0.0</v>
      </c>
      <c r="E69" s="159"/>
    </row>
    <row r="70" ht="18.0" customHeight="1">
      <c r="A70" s="159"/>
      <c r="B70" s="165"/>
      <c r="C70" s="166"/>
      <c r="D70" s="166"/>
      <c r="E70" s="159"/>
    </row>
    <row r="71" ht="18.0" customHeight="1">
      <c r="A71" s="130"/>
      <c r="B71" s="167" t="s">
        <v>91</v>
      </c>
      <c r="C71" s="167" t="s">
        <v>92</v>
      </c>
      <c r="D71" s="167" t="s">
        <v>93</v>
      </c>
      <c r="E71" s="130"/>
    </row>
    <row r="72" ht="18.0" customHeight="1">
      <c r="A72" s="168"/>
      <c r="B72" s="171">
        <f>'Estimativa de orçamento'!$C$18</f>
        <v>500</v>
      </c>
      <c r="C72" s="171">
        <f t="shared" ref="C72:D72" si="8">sum(C69:C70)</f>
        <v>0</v>
      </c>
      <c r="D72" s="172">
        <f t="shared" si="8"/>
        <v>0</v>
      </c>
      <c r="E72" s="168"/>
    </row>
    <row r="73" ht="30.0" customHeight="1">
      <c r="A73" s="130"/>
      <c r="B73" s="130"/>
      <c r="C73" s="130"/>
      <c r="D73" s="130"/>
      <c r="E73" s="130"/>
    </row>
    <row r="74" ht="18.0" customHeight="1">
      <c r="A74" s="159"/>
      <c r="B74" s="160" t="str">
        <f>'Estimativa de orçamento'!$B$19</f>
        <v>Serviço de bufê e bebidas</v>
      </c>
      <c r="C74" s="161" t="s">
        <v>71</v>
      </c>
      <c r="D74" s="161" t="s">
        <v>72</v>
      </c>
      <c r="E74" s="159"/>
    </row>
    <row r="75" ht="18.0" customHeight="1">
      <c r="A75" s="159"/>
      <c r="B75" s="162" t="s">
        <v>109</v>
      </c>
      <c r="C75" s="173">
        <v>7000.0</v>
      </c>
      <c r="D75" s="174">
        <v>0.0</v>
      </c>
      <c r="E75" s="159"/>
    </row>
    <row r="76" ht="18.0" customHeight="1">
      <c r="A76" s="159"/>
      <c r="B76" s="162" t="s">
        <v>110</v>
      </c>
      <c r="C76" s="173">
        <v>1500.0</v>
      </c>
      <c r="D76" s="174">
        <v>0.0</v>
      </c>
      <c r="E76" s="159"/>
    </row>
    <row r="77" ht="18.0" customHeight="1">
      <c r="A77" s="159"/>
      <c r="B77" s="165"/>
      <c r="C77" s="166"/>
      <c r="D77" s="166"/>
      <c r="E77" s="159"/>
    </row>
    <row r="78" ht="18.0" customHeight="1">
      <c r="A78" s="130"/>
      <c r="B78" s="167" t="s">
        <v>91</v>
      </c>
      <c r="C78" s="167" t="s">
        <v>92</v>
      </c>
      <c r="D78" s="167" t="s">
        <v>93</v>
      </c>
      <c r="E78" s="130"/>
    </row>
    <row r="79" ht="18.0" customHeight="1">
      <c r="A79" s="168"/>
      <c r="B79" s="171">
        <f>'Estimativa de orçamento'!$C$19</f>
        <v>8500</v>
      </c>
      <c r="C79" s="171">
        <f t="shared" ref="C79:D79" si="9">sum(C75:C77)</f>
        <v>8500</v>
      </c>
      <c r="D79" s="172">
        <f t="shared" si="9"/>
        <v>0</v>
      </c>
      <c r="E79" s="168"/>
    </row>
    <row r="80" ht="30.0" customHeight="1">
      <c r="A80" s="130"/>
      <c r="B80" s="130"/>
      <c r="C80" s="130"/>
      <c r="D80" s="130"/>
      <c r="E80" s="130"/>
    </row>
    <row r="81" ht="18.0" customHeight="1">
      <c r="A81" s="159"/>
      <c r="B81" s="160" t="str">
        <f>'Estimativa de orçamento'!$B$20</f>
        <v>Fotografia</v>
      </c>
      <c r="C81" s="161" t="s">
        <v>71</v>
      </c>
      <c r="D81" s="161" t="s">
        <v>72</v>
      </c>
      <c r="E81" s="159"/>
    </row>
    <row r="82" ht="18.0" customHeight="1">
      <c r="A82" s="159"/>
      <c r="B82" s="162" t="s">
        <v>21</v>
      </c>
      <c r="C82" s="173">
        <v>1500.0</v>
      </c>
      <c r="D82" s="174">
        <v>0.0</v>
      </c>
      <c r="E82" s="159"/>
    </row>
    <row r="83" ht="18.0" customHeight="1">
      <c r="A83" s="159"/>
      <c r="B83" s="162" t="s">
        <v>24</v>
      </c>
      <c r="C83" s="173">
        <v>1250.0</v>
      </c>
      <c r="D83" s="174">
        <v>0.0</v>
      </c>
      <c r="E83" s="159"/>
    </row>
    <row r="84" ht="18.0" customHeight="1">
      <c r="A84" s="159"/>
      <c r="B84" s="162" t="s">
        <v>111</v>
      </c>
      <c r="C84" s="173">
        <v>250.0</v>
      </c>
      <c r="D84" s="174">
        <v>0.0</v>
      </c>
      <c r="E84" s="159"/>
    </row>
    <row r="85" ht="18.0" customHeight="1">
      <c r="A85" s="159"/>
      <c r="B85" s="165"/>
      <c r="C85" s="166"/>
      <c r="D85" s="166"/>
      <c r="E85" s="159"/>
    </row>
    <row r="86" ht="18.0" customHeight="1">
      <c r="A86" s="130"/>
      <c r="B86" s="167" t="s">
        <v>91</v>
      </c>
      <c r="C86" s="167" t="s">
        <v>92</v>
      </c>
      <c r="D86" s="167" t="s">
        <v>93</v>
      </c>
      <c r="E86" s="130"/>
    </row>
    <row r="87" ht="18.0" customHeight="1">
      <c r="A87" s="168"/>
      <c r="B87" s="171">
        <f>'Estimativa de orçamento'!$C$20</f>
        <v>3000</v>
      </c>
      <c r="C87" s="171">
        <f t="shared" ref="C87:D87" si="10">sum(C82:C85)</f>
        <v>3000</v>
      </c>
      <c r="D87" s="172">
        <f t="shared" si="10"/>
        <v>0</v>
      </c>
      <c r="E87" s="168"/>
    </row>
    <row r="88" ht="30.0" customHeight="1">
      <c r="A88" s="130"/>
      <c r="B88" s="130"/>
      <c r="C88" s="176"/>
      <c r="D88" s="176"/>
      <c r="E88" s="130"/>
    </row>
    <row r="89" ht="18.0" customHeight="1">
      <c r="A89" s="159"/>
      <c r="B89" s="160" t="str">
        <f>'Estimativa de orçamento'!$B$21</f>
        <v>Entretenimento</v>
      </c>
      <c r="C89" s="161" t="s">
        <v>71</v>
      </c>
      <c r="D89" s="161" t="s">
        <v>72</v>
      </c>
      <c r="E89" s="159"/>
    </row>
    <row r="90" ht="18.0" customHeight="1">
      <c r="A90" s="159"/>
      <c r="B90" s="162" t="s">
        <v>112</v>
      </c>
      <c r="C90" s="173">
        <v>250.0</v>
      </c>
      <c r="D90" s="174">
        <v>0.0</v>
      </c>
      <c r="E90" s="159"/>
    </row>
    <row r="91" ht="18.0" customHeight="1">
      <c r="A91" s="159"/>
      <c r="B91" s="162" t="s">
        <v>76</v>
      </c>
      <c r="C91" s="173">
        <v>1500.0</v>
      </c>
      <c r="D91" s="174">
        <v>0.0</v>
      </c>
      <c r="E91" s="159"/>
    </row>
    <row r="92" ht="18.0" customHeight="1">
      <c r="A92" s="159"/>
      <c r="B92" s="165"/>
      <c r="C92" s="166"/>
      <c r="D92" s="166"/>
      <c r="E92" s="159"/>
    </row>
    <row r="93" ht="18.0" customHeight="1">
      <c r="A93" s="130"/>
      <c r="B93" s="167" t="s">
        <v>91</v>
      </c>
      <c r="C93" s="167" t="s">
        <v>92</v>
      </c>
      <c r="D93" s="167" t="s">
        <v>93</v>
      </c>
      <c r="E93" s="130"/>
    </row>
    <row r="94" ht="18.0" customHeight="1">
      <c r="A94" s="168"/>
      <c r="B94" s="171">
        <f>'Estimativa de orçamento'!$C$21</f>
        <v>1750</v>
      </c>
      <c r="C94" s="171">
        <f t="shared" ref="C94:D94" si="11">sum(C90:C92)</f>
        <v>1750</v>
      </c>
      <c r="D94" s="172">
        <f t="shared" si="11"/>
        <v>0</v>
      </c>
      <c r="E94" s="168"/>
    </row>
    <row r="95" ht="30.0" customHeight="1">
      <c r="A95" s="130"/>
      <c r="B95" s="130"/>
      <c r="C95" s="130"/>
      <c r="D95" s="130"/>
      <c r="E95" s="130"/>
    </row>
    <row r="96" ht="18.0" customHeight="1">
      <c r="A96" s="159"/>
      <c r="B96" s="160" t="str">
        <f>'Estimativa de orçamento'!$B$22</f>
        <v>Diversos</v>
      </c>
      <c r="C96" s="161" t="s">
        <v>71</v>
      </c>
      <c r="D96" s="161" t="s">
        <v>72</v>
      </c>
      <c r="E96" s="159"/>
    </row>
    <row r="97" ht="18.0" customHeight="1">
      <c r="A97" s="159"/>
      <c r="B97" s="162" t="s">
        <v>61</v>
      </c>
      <c r="C97" s="177">
        <v>500.0</v>
      </c>
      <c r="D97" s="174">
        <v>0.0</v>
      </c>
      <c r="E97" s="159"/>
    </row>
    <row r="98" ht="18.0" customHeight="1">
      <c r="A98" s="159"/>
      <c r="B98" s="162" t="s">
        <v>113</v>
      </c>
      <c r="C98" s="177">
        <v>750.0</v>
      </c>
      <c r="D98" s="174">
        <v>0.0</v>
      </c>
      <c r="E98" s="159"/>
    </row>
    <row r="99" ht="18.0" customHeight="1">
      <c r="A99" s="159"/>
      <c r="B99" s="165"/>
      <c r="C99" s="166"/>
      <c r="D99" s="166"/>
      <c r="E99" s="159"/>
    </row>
    <row r="100" ht="18.0" customHeight="1">
      <c r="A100" s="130"/>
      <c r="B100" s="167" t="s">
        <v>91</v>
      </c>
      <c r="C100" s="167" t="s">
        <v>92</v>
      </c>
      <c r="D100" s="167" t="s">
        <v>93</v>
      </c>
      <c r="E100" s="130"/>
    </row>
    <row r="101" ht="18.0" customHeight="1">
      <c r="A101" s="168"/>
      <c r="B101" s="171">
        <f>'Estimativa de orçamento'!$C$22</f>
        <v>1250</v>
      </c>
      <c r="C101" s="171">
        <f t="shared" ref="C101:D101" si="12">sum(C97:C99)</f>
        <v>1250</v>
      </c>
      <c r="D101" s="172">
        <f t="shared" si="12"/>
        <v>0</v>
      </c>
      <c r="E101" s="168"/>
    </row>
    <row r="102" ht="30.0" customHeight="1">
      <c r="A102" s="130"/>
      <c r="B102" s="130"/>
      <c r="C102" s="130"/>
      <c r="D102" s="130"/>
      <c r="E102" s="130"/>
    </row>
  </sheetData>
  <mergeCells count="2">
    <mergeCell ref="B2:D2"/>
    <mergeCell ref="B3:D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27B0"/>
    <outlinePr summaryBelow="0" summaryRight="0"/>
  </sheetPr>
  <sheetViews>
    <sheetView showGridLines="0" workbookViewId="0"/>
  </sheetViews>
  <sheetFormatPr customHeight="1" defaultColWidth="12.63" defaultRowHeight="15.75"/>
  <cols>
    <col customWidth="1" min="1" max="1" width="5.13"/>
    <col customWidth="1" min="2" max="2" width="13.38"/>
    <col customWidth="1" min="3" max="3" width="12.5"/>
    <col customWidth="1" min="4" max="4" width="16.13"/>
    <col customWidth="1" min="5" max="6" width="14.13"/>
    <col customWidth="1" min="7" max="7" width="12.0"/>
    <col customWidth="1" min="8" max="8" width="9.75"/>
    <col customWidth="1" min="9" max="9" width="9.88"/>
    <col customWidth="1" min="10" max="10" width="12.13"/>
    <col customWidth="1" min="11" max="11" width="9.13"/>
    <col customWidth="1" min="12" max="12" width="11.75"/>
    <col customWidth="1" min="13" max="13" width="12.38"/>
    <col customWidth="1" min="14" max="14" width="16.13"/>
    <col customWidth="1" min="15" max="15" width="9.63"/>
    <col customWidth="1" min="16" max="16" width="13.75"/>
    <col customWidth="1" min="17" max="17" width="19.25"/>
    <col customWidth="1" min="18" max="18" width="16.75"/>
    <col customWidth="1" min="19" max="19" width="5.13"/>
  </cols>
  <sheetData>
    <row r="1" ht="6.0" customHeight="1">
      <c r="A1" s="178"/>
      <c r="B1" s="178"/>
      <c r="C1" s="178"/>
      <c r="D1" s="178"/>
      <c r="E1" s="178"/>
      <c r="F1" s="178"/>
      <c r="G1" s="178"/>
      <c r="H1" s="178"/>
      <c r="I1" s="178"/>
      <c r="J1" s="178"/>
      <c r="K1" s="178"/>
      <c r="L1" s="178"/>
      <c r="M1" s="178"/>
      <c r="N1" s="178"/>
      <c r="O1" s="178"/>
      <c r="P1" s="178"/>
      <c r="Q1" s="178"/>
      <c r="R1" s="178"/>
      <c r="S1" s="178"/>
    </row>
    <row r="2" ht="66.0" customHeight="1">
      <c r="A2" s="13"/>
      <c r="B2" s="179" t="s">
        <v>20</v>
      </c>
      <c r="E2" s="13"/>
      <c r="F2" s="13"/>
      <c r="G2" s="13"/>
      <c r="H2" s="13"/>
      <c r="I2" s="13"/>
      <c r="J2" s="13"/>
      <c r="K2" s="13"/>
      <c r="L2" s="167" t="s">
        <v>114</v>
      </c>
      <c r="S2" s="13"/>
    </row>
    <row r="3" ht="12.0" customHeight="1">
      <c r="A3" s="13"/>
      <c r="B3" s="13"/>
      <c r="C3" s="13"/>
      <c r="D3" s="13"/>
      <c r="E3" s="13"/>
      <c r="F3" s="13"/>
      <c r="G3" s="13"/>
      <c r="H3" s="13"/>
      <c r="I3" s="13"/>
      <c r="J3" s="13"/>
      <c r="K3" s="13"/>
      <c r="L3" s="13"/>
      <c r="M3" s="13"/>
      <c r="N3" s="13"/>
      <c r="O3" s="13"/>
      <c r="P3" s="13"/>
      <c r="Q3" s="13"/>
      <c r="R3" s="13"/>
      <c r="S3" s="13"/>
    </row>
    <row r="4" ht="22.5" customHeight="1">
      <c r="A4" s="180"/>
      <c r="B4" s="181" t="s">
        <v>115</v>
      </c>
      <c r="F4" s="182"/>
      <c r="G4" s="183" t="s">
        <v>116</v>
      </c>
      <c r="I4" s="183" t="s">
        <v>117</v>
      </c>
      <c r="L4" s="183" t="s">
        <v>118</v>
      </c>
      <c r="N4" s="183" t="s">
        <v>119</v>
      </c>
      <c r="Q4" s="184"/>
      <c r="R4" s="180"/>
      <c r="S4" s="180"/>
    </row>
    <row r="5" ht="24.0" customHeight="1">
      <c r="A5" s="185"/>
      <c r="B5" s="186" t="s">
        <v>120</v>
      </c>
      <c r="C5" s="186" t="s">
        <v>121</v>
      </c>
      <c r="D5" s="186" t="s">
        <v>122</v>
      </c>
      <c r="E5" s="186" t="s">
        <v>57</v>
      </c>
      <c r="F5" s="187" t="s">
        <v>123</v>
      </c>
      <c r="G5" s="188" t="s">
        <v>124</v>
      </c>
      <c r="H5" s="189" t="s">
        <v>125</v>
      </c>
      <c r="I5" s="188" t="s">
        <v>126</v>
      </c>
      <c r="J5" s="189" t="s">
        <v>127</v>
      </c>
      <c r="K5" s="189" t="s">
        <v>128</v>
      </c>
      <c r="L5" s="188" t="s">
        <v>129</v>
      </c>
      <c r="M5" s="189" t="s">
        <v>127</v>
      </c>
      <c r="N5" s="188" t="s">
        <v>130</v>
      </c>
      <c r="O5" s="189" t="s">
        <v>131</v>
      </c>
      <c r="P5" s="189" t="s">
        <v>132</v>
      </c>
      <c r="Q5" s="189" t="s">
        <v>133</v>
      </c>
      <c r="R5" s="190" t="s">
        <v>134</v>
      </c>
      <c r="S5" s="185"/>
    </row>
    <row r="6" ht="21.0" customHeight="1">
      <c r="A6" s="49"/>
      <c r="B6" s="191" t="s">
        <v>54</v>
      </c>
      <c r="C6" s="191" t="s">
        <v>135</v>
      </c>
      <c r="D6" s="192" t="s">
        <v>136</v>
      </c>
      <c r="E6" s="192" t="s">
        <v>63</v>
      </c>
      <c r="F6" s="193"/>
      <c r="G6" s="194" t="s">
        <v>137</v>
      </c>
      <c r="H6" s="195" t="s">
        <v>137</v>
      </c>
      <c r="I6" s="196" t="s">
        <v>138</v>
      </c>
      <c r="J6" s="197">
        <v>2.0</v>
      </c>
      <c r="K6" s="197"/>
      <c r="L6" s="198">
        <v>1.0</v>
      </c>
      <c r="M6" s="195"/>
      <c r="N6" s="196" t="s">
        <v>139</v>
      </c>
      <c r="O6" s="196">
        <v>1.0</v>
      </c>
      <c r="P6" s="197"/>
      <c r="Q6" s="199"/>
      <c r="R6" s="200" t="s">
        <v>140</v>
      </c>
      <c r="S6" s="49"/>
    </row>
    <row r="7" ht="21.0" customHeight="1">
      <c r="A7" s="49"/>
      <c r="B7" s="201" t="s">
        <v>54</v>
      </c>
      <c r="C7" s="201" t="s">
        <v>135</v>
      </c>
      <c r="D7" s="202"/>
      <c r="E7" s="202"/>
      <c r="F7" s="202"/>
      <c r="G7" s="203"/>
      <c r="H7" s="204"/>
      <c r="I7" s="205"/>
      <c r="J7" s="205"/>
      <c r="K7" s="206"/>
      <c r="L7" s="203"/>
      <c r="M7" s="204"/>
      <c r="N7" s="206"/>
      <c r="O7" s="205"/>
      <c r="P7" s="206"/>
      <c r="Q7" s="204"/>
      <c r="R7" s="207"/>
      <c r="S7" s="49"/>
    </row>
    <row r="8" ht="21.0" customHeight="1">
      <c r="A8" s="49"/>
      <c r="B8" s="208"/>
      <c r="C8" s="208"/>
      <c r="D8" s="202"/>
      <c r="E8" s="202"/>
      <c r="F8" s="202"/>
      <c r="G8" s="203"/>
      <c r="H8" s="204"/>
      <c r="I8" s="205"/>
      <c r="J8" s="205"/>
      <c r="K8" s="206"/>
      <c r="L8" s="203"/>
      <c r="M8" s="204"/>
      <c r="N8" s="206"/>
      <c r="O8" s="206"/>
      <c r="P8" s="206"/>
      <c r="Q8" s="204"/>
      <c r="R8" s="207"/>
      <c r="S8" s="49"/>
    </row>
    <row r="9" ht="21.0" customHeight="1">
      <c r="A9" s="49"/>
      <c r="B9" s="208"/>
      <c r="C9" s="208"/>
      <c r="D9" s="202"/>
      <c r="E9" s="202"/>
      <c r="F9" s="202"/>
      <c r="G9" s="203"/>
      <c r="H9" s="204"/>
      <c r="I9" s="205"/>
      <c r="J9" s="205"/>
      <c r="K9" s="206"/>
      <c r="L9" s="203"/>
      <c r="M9" s="204"/>
      <c r="N9" s="206"/>
      <c r="O9" s="206"/>
      <c r="P9" s="206"/>
      <c r="Q9" s="204"/>
      <c r="R9" s="207"/>
      <c r="S9" s="49"/>
    </row>
    <row r="10" ht="21.0" customHeight="1">
      <c r="A10" s="49"/>
      <c r="B10" s="208"/>
      <c r="C10" s="208"/>
      <c r="D10" s="202"/>
      <c r="E10" s="202"/>
      <c r="F10" s="202"/>
      <c r="G10" s="203"/>
      <c r="H10" s="204"/>
      <c r="I10" s="205"/>
      <c r="J10" s="205"/>
      <c r="K10" s="206"/>
      <c r="L10" s="203"/>
      <c r="M10" s="204"/>
      <c r="N10" s="206"/>
      <c r="O10" s="206"/>
      <c r="P10" s="206"/>
      <c r="Q10" s="204"/>
      <c r="R10" s="207"/>
      <c r="S10" s="49"/>
    </row>
    <row r="11" ht="21.0" customHeight="1">
      <c r="A11" s="49"/>
      <c r="B11" s="208"/>
      <c r="C11" s="208"/>
      <c r="D11" s="202"/>
      <c r="E11" s="202"/>
      <c r="F11" s="202"/>
      <c r="G11" s="203"/>
      <c r="H11" s="204"/>
      <c r="I11" s="205"/>
      <c r="J11" s="205"/>
      <c r="K11" s="206"/>
      <c r="L11" s="203"/>
      <c r="M11" s="204"/>
      <c r="N11" s="206"/>
      <c r="O11" s="206"/>
      <c r="P11" s="206"/>
      <c r="Q11" s="204"/>
      <c r="R11" s="207"/>
      <c r="S11" s="49"/>
    </row>
    <row r="12" ht="21.0" customHeight="1">
      <c r="A12" s="49"/>
      <c r="B12" s="208"/>
      <c r="C12" s="208"/>
      <c r="D12" s="202"/>
      <c r="E12" s="202"/>
      <c r="F12" s="202"/>
      <c r="G12" s="203"/>
      <c r="H12" s="204"/>
      <c r="I12" s="205"/>
      <c r="J12" s="205"/>
      <c r="K12" s="206"/>
      <c r="L12" s="203"/>
      <c r="M12" s="204"/>
      <c r="N12" s="206"/>
      <c r="O12" s="206"/>
      <c r="P12" s="206"/>
      <c r="Q12" s="204"/>
      <c r="R12" s="207"/>
      <c r="S12" s="49"/>
    </row>
    <row r="13" ht="21.0" customHeight="1">
      <c r="A13" s="49"/>
      <c r="B13" s="208"/>
      <c r="C13" s="208"/>
      <c r="D13" s="202"/>
      <c r="E13" s="202"/>
      <c r="F13" s="202"/>
      <c r="G13" s="203"/>
      <c r="H13" s="204"/>
      <c r="I13" s="205"/>
      <c r="J13" s="205"/>
      <c r="K13" s="206"/>
      <c r="L13" s="203"/>
      <c r="M13" s="204"/>
      <c r="N13" s="206"/>
      <c r="O13" s="206"/>
      <c r="P13" s="206"/>
      <c r="Q13" s="204"/>
      <c r="R13" s="207"/>
      <c r="S13" s="49"/>
    </row>
    <row r="14" ht="21.0" customHeight="1">
      <c r="A14" s="49"/>
      <c r="B14" s="208"/>
      <c r="C14" s="208"/>
      <c r="D14" s="202"/>
      <c r="E14" s="202"/>
      <c r="F14" s="202"/>
      <c r="G14" s="203"/>
      <c r="H14" s="204"/>
      <c r="I14" s="205"/>
      <c r="J14" s="205"/>
      <c r="K14" s="206"/>
      <c r="L14" s="203"/>
      <c r="M14" s="204"/>
      <c r="N14" s="206"/>
      <c r="O14" s="206"/>
      <c r="P14" s="206"/>
      <c r="Q14" s="204"/>
      <c r="R14" s="207"/>
      <c r="S14" s="49"/>
    </row>
    <row r="15" ht="21.0" customHeight="1">
      <c r="A15" s="49"/>
      <c r="B15" s="208"/>
      <c r="C15" s="208"/>
      <c r="D15" s="202"/>
      <c r="E15" s="202"/>
      <c r="F15" s="202"/>
      <c r="G15" s="203"/>
      <c r="H15" s="204"/>
      <c r="I15" s="205"/>
      <c r="J15" s="205"/>
      <c r="K15" s="206"/>
      <c r="L15" s="203"/>
      <c r="M15" s="204"/>
      <c r="N15" s="206"/>
      <c r="O15" s="206"/>
      <c r="P15" s="206"/>
      <c r="Q15" s="204"/>
      <c r="R15" s="207"/>
      <c r="S15" s="49"/>
    </row>
    <row r="16" ht="21.0" customHeight="1">
      <c r="A16" s="49"/>
      <c r="B16" s="208"/>
      <c r="C16" s="208"/>
      <c r="D16" s="202"/>
      <c r="E16" s="202"/>
      <c r="F16" s="202"/>
      <c r="G16" s="203"/>
      <c r="H16" s="204"/>
      <c r="I16" s="205"/>
      <c r="J16" s="205"/>
      <c r="K16" s="206"/>
      <c r="L16" s="203"/>
      <c r="M16" s="204"/>
      <c r="N16" s="206"/>
      <c r="O16" s="206"/>
      <c r="P16" s="206"/>
      <c r="Q16" s="204"/>
      <c r="R16" s="207"/>
      <c r="S16" s="49"/>
    </row>
    <row r="17" ht="21.0" customHeight="1">
      <c r="A17" s="49"/>
      <c r="B17" s="208"/>
      <c r="C17" s="208"/>
      <c r="D17" s="202"/>
      <c r="E17" s="202"/>
      <c r="F17" s="202"/>
      <c r="G17" s="203"/>
      <c r="H17" s="204"/>
      <c r="I17" s="205"/>
      <c r="J17" s="205"/>
      <c r="K17" s="206"/>
      <c r="L17" s="203"/>
      <c r="M17" s="204"/>
      <c r="N17" s="206"/>
      <c r="O17" s="206"/>
      <c r="P17" s="206"/>
      <c r="Q17" s="204"/>
      <c r="R17" s="207"/>
      <c r="S17" s="49"/>
    </row>
    <row r="18" ht="21.0" customHeight="1">
      <c r="A18" s="49"/>
      <c r="B18" s="208"/>
      <c r="C18" s="208"/>
      <c r="D18" s="202"/>
      <c r="E18" s="202"/>
      <c r="F18" s="202"/>
      <c r="G18" s="203"/>
      <c r="H18" s="204"/>
      <c r="I18" s="205"/>
      <c r="J18" s="205"/>
      <c r="K18" s="206"/>
      <c r="L18" s="203"/>
      <c r="M18" s="204"/>
      <c r="N18" s="206"/>
      <c r="O18" s="206"/>
      <c r="P18" s="206"/>
      <c r="Q18" s="204"/>
      <c r="R18" s="207"/>
      <c r="S18" s="49"/>
    </row>
    <row r="19" ht="21.0" customHeight="1">
      <c r="A19" s="49"/>
      <c r="B19" s="208"/>
      <c r="C19" s="208"/>
      <c r="D19" s="202"/>
      <c r="E19" s="202"/>
      <c r="F19" s="202"/>
      <c r="G19" s="203"/>
      <c r="H19" s="204"/>
      <c r="I19" s="205"/>
      <c r="J19" s="205"/>
      <c r="K19" s="206"/>
      <c r="L19" s="203"/>
      <c r="M19" s="204"/>
      <c r="N19" s="206"/>
      <c r="O19" s="206"/>
      <c r="P19" s="206"/>
      <c r="Q19" s="204"/>
      <c r="R19" s="207"/>
      <c r="S19" s="49"/>
    </row>
    <row r="20" ht="21.0" customHeight="1">
      <c r="A20" s="49"/>
      <c r="B20" s="208"/>
      <c r="C20" s="208"/>
      <c r="D20" s="202"/>
      <c r="E20" s="202"/>
      <c r="F20" s="202"/>
      <c r="G20" s="203"/>
      <c r="H20" s="204"/>
      <c r="I20" s="205"/>
      <c r="J20" s="205"/>
      <c r="K20" s="206"/>
      <c r="L20" s="203"/>
      <c r="M20" s="204"/>
      <c r="N20" s="206"/>
      <c r="O20" s="206"/>
      <c r="P20" s="206"/>
      <c r="Q20" s="204"/>
      <c r="R20" s="207"/>
      <c r="S20" s="49"/>
    </row>
    <row r="21" ht="21.0" customHeight="1">
      <c r="A21" s="49"/>
      <c r="B21" s="208"/>
      <c r="C21" s="208"/>
      <c r="D21" s="202"/>
      <c r="E21" s="202"/>
      <c r="F21" s="202"/>
      <c r="G21" s="203"/>
      <c r="H21" s="204"/>
      <c r="I21" s="205"/>
      <c r="J21" s="205"/>
      <c r="K21" s="206"/>
      <c r="L21" s="203"/>
      <c r="M21" s="204"/>
      <c r="N21" s="206"/>
      <c r="O21" s="206"/>
      <c r="P21" s="206"/>
      <c r="Q21" s="204"/>
      <c r="R21" s="207"/>
      <c r="S21" s="49"/>
    </row>
    <row r="22" ht="21.0" customHeight="1">
      <c r="A22" s="49"/>
      <c r="B22" s="208"/>
      <c r="C22" s="208"/>
      <c r="D22" s="202"/>
      <c r="E22" s="202"/>
      <c r="F22" s="202"/>
      <c r="G22" s="203"/>
      <c r="H22" s="204"/>
      <c r="I22" s="205"/>
      <c r="J22" s="205"/>
      <c r="K22" s="206"/>
      <c r="L22" s="203"/>
      <c r="M22" s="204"/>
      <c r="N22" s="206"/>
      <c r="O22" s="206"/>
      <c r="P22" s="206"/>
      <c r="Q22" s="204"/>
      <c r="R22" s="207"/>
      <c r="S22" s="49"/>
    </row>
    <row r="23" ht="21.0" customHeight="1">
      <c r="A23" s="49"/>
      <c r="B23" s="208"/>
      <c r="C23" s="208"/>
      <c r="D23" s="202"/>
      <c r="E23" s="202"/>
      <c r="F23" s="202"/>
      <c r="G23" s="203"/>
      <c r="H23" s="204"/>
      <c r="I23" s="205"/>
      <c r="J23" s="205"/>
      <c r="K23" s="206"/>
      <c r="L23" s="203"/>
      <c r="M23" s="204"/>
      <c r="N23" s="206"/>
      <c r="O23" s="206"/>
      <c r="P23" s="206"/>
      <c r="Q23" s="204"/>
      <c r="R23" s="207"/>
      <c r="S23" s="49"/>
    </row>
    <row r="24" ht="21.0" customHeight="1">
      <c r="A24" s="49"/>
      <c r="B24" s="208"/>
      <c r="C24" s="208"/>
      <c r="D24" s="202"/>
      <c r="E24" s="202"/>
      <c r="F24" s="202"/>
      <c r="G24" s="203"/>
      <c r="H24" s="204"/>
      <c r="I24" s="205"/>
      <c r="J24" s="205"/>
      <c r="K24" s="206"/>
      <c r="L24" s="203"/>
      <c r="M24" s="204"/>
      <c r="N24" s="206"/>
      <c r="O24" s="206"/>
      <c r="P24" s="206"/>
      <c r="Q24" s="204"/>
      <c r="R24" s="207"/>
      <c r="S24" s="49"/>
    </row>
    <row r="25" ht="21.0" customHeight="1">
      <c r="A25" s="49"/>
      <c r="B25" s="208"/>
      <c r="C25" s="208"/>
      <c r="D25" s="202"/>
      <c r="E25" s="202"/>
      <c r="F25" s="202"/>
      <c r="G25" s="203"/>
      <c r="H25" s="204"/>
      <c r="I25" s="205"/>
      <c r="J25" s="205"/>
      <c r="K25" s="206"/>
      <c r="L25" s="203"/>
      <c r="M25" s="204"/>
      <c r="N25" s="206"/>
      <c r="O25" s="206"/>
      <c r="P25" s="206"/>
      <c r="Q25" s="204"/>
      <c r="R25" s="207"/>
      <c r="S25" s="49"/>
    </row>
    <row r="26" ht="21.0" customHeight="1">
      <c r="A26" s="49"/>
      <c r="B26" s="208"/>
      <c r="C26" s="208"/>
      <c r="D26" s="202"/>
      <c r="E26" s="202"/>
      <c r="F26" s="202"/>
      <c r="G26" s="203"/>
      <c r="H26" s="204"/>
      <c r="I26" s="205"/>
      <c r="J26" s="205"/>
      <c r="K26" s="206"/>
      <c r="L26" s="203"/>
      <c r="M26" s="204"/>
      <c r="N26" s="206"/>
      <c r="O26" s="206"/>
      <c r="P26" s="206"/>
      <c r="Q26" s="204"/>
      <c r="R26" s="207"/>
      <c r="S26" s="49"/>
    </row>
    <row r="27" ht="21.0" customHeight="1">
      <c r="A27" s="49"/>
      <c r="B27" s="208"/>
      <c r="C27" s="208"/>
      <c r="D27" s="202"/>
      <c r="E27" s="202"/>
      <c r="F27" s="202"/>
      <c r="G27" s="203"/>
      <c r="H27" s="204"/>
      <c r="I27" s="205"/>
      <c r="J27" s="205"/>
      <c r="K27" s="206"/>
      <c r="L27" s="203"/>
      <c r="M27" s="204"/>
      <c r="N27" s="206"/>
      <c r="O27" s="206"/>
      <c r="P27" s="206"/>
      <c r="Q27" s="204"/>
      <c r="R27" s="207"/>
      <c r="S27" s="49"/>
    </row>
    <row r="28" ht="21.0" customHeight="1">
      <c r="A28" s="49"/>
      <c r="B28" s="208"/>
      <c r="C28" s="208"/>
      <c r="D28" s="202"/>
      <c r="E28" s="202"/>
      <c r="F28" s="202"/>
      <c r="G28" s="203"/>
      <c r="H28" s="204"/>
      <c r="I28" s="205"/>
      <c r="J28" s="205"/>
      <c r="K28" s="206"/>
      <c r="L28" s="203"/>
      <c r="M28" s="204"/>
      <c r="N28" s="206"/>
      <c r="O28" s="206"/>
      <c r="P28" s="206"/>
      <c r="Q28" s="204"/>
      <c r="R28" s="207"/>
      <c r="S28" s="49"/>
    </row>
    <row r="29" ht="21.0" customHeight="1">
      <c r="A29" s="49"/>
      <c r="B29" s="208"/>
      <c r="C29" s="208"/>
      <c r="D29" s="202"/>
      <c r="E29" s="202"/>
      <c r="F29" s="202"/>
      <c r="G29" s="203"/>
      <c r="H29" s="204"/>
      <c r="I29" s="205"/>
      <c r="J29" s="205"/>
      <c r="K29" s="206"/>
      <c r="L29" s="203"/>
      <c r="M29" s="204"/>
      <c r="N29" s="206"/>
      <c r="O29" s="206"/>
      <c r="P29" s="206"/>
      <c r="Q29" s="204"/>
      <c r="R29" s="207"/>
      <c r="S29" s="49"/>
    </row>
    <row r="30" ht="21.0" customHeight="1">
      <c r="A30" s="49"/>
      <c r="B30" s="208"/>
      <c r="C30" s="208"/>
      <c r="D30" s="202"/>
      <c r="E30" s="202"/>
      <c r="F30" s="202"/>
      <c r="G30" s="203"/>
      <c r="H30" s="204"/>
      <c r="I30" s="205"/>
      <c r="J30" s="205"/>
      <c r="K30" s="206"/>
      <c r="L30" s="203"/>
      <c r="M30" s="204"/>
      <c r="N30" s="206"/>
      <c r="O30" s="206"/>
      <c r="P30" s="206"/>
      <c r="Q30" s="204"/>
      <c r="R30" s="207"/>
      <c r="S30" s="49"/>
    </row>
    <row r="31" ht="21.0" customHeight="1">
      <c r="A31" s="49"/>
      <c r="B31" s="208"/>
      <c r="C31" s="208"/>
      <c r="D31" s="202"/>
      <c r="E31" s="202"/>
      <c r="F31" s="202"/>
      <c r="G31" s="203"/>
      <c r="H31" s="204"/>
      <c r="I31" s="205"/>
      <c r="J31" s="205"/>
      <c r="K31" s="206"/>
      <c r="L31" s="203"/>
      <c r="M31" s="204"/>
      <c r="N31" s="206"/>
      <c r="O31" s="206"/>
      <c r="P31" s="206"/>
      <c r="Q31" s="204"/>
      <c r="R31" s="207"/>
      <c r="S31" s="49"/>
    </row>
    <row r="32" ht="21.0" customHeight="1">
      <c r="A32" s="49"/>
      <c r="B32" s="208"/>
      <c r="C32" s="208"/>
      <c r="D32" s="202"/>
      <c r="E32" s="202"/>
      <c r="F32" s="202"/>
      <c r="G32" s="203"/>
      <c r="H32" s="204"/>
      <c r="I32" s="205"/>
      <c r="J32" s="205"/>
      <c r="K32" s="206"/>
      <c r="L32" s="203"/>
      <c r="M32" s="204"/>
      <c r="N32" s="206"/>
      <c r="O32" s="206"/>
      <c r="P32" s="206"/>
      <c r="Q32" s="204"/>
      <c r="R32" s="207"/>
      <c r="S32" s="49"/>
    </row>
    <row r="33" ht="21.0" customHeight="1">
      <c r="A33" s="49"/>
      <c r="B33" s="208"/>
      <c r="C33" s="208"/>
      <c r="D33" s="202"/>
      <c r="E33" s="202"/>
      <c r="F33" s="202"/>
      <c r="G33" s="203"/>
      <c r="H33" s="204"/>
      <c r="I33" s="205"/>
      <c r="J33" s="205"/>
      <c r="K33" s="206"/>
      <c r="L33" s="203"/>
      <c r="M33" s="204"/>
      <c r="N33" s="206"/>
      <c r="O33" s="206"/>
      <c r="P33" s="206"/>
      <c r="Q33" s="204"/>
      <c r="R33" s="207"/>
      <c r="S33" s="49"/>
    </row>
    <row r="34" ht="21.0" customHeight="1">
      <c r="A34" s="49"/>
      <c r="B34" s="208"/>
      <c r="C34" s="208"/>
      <c r="D34" s="202"/>
      <c r="E34" s="202"/>
      <c r="F34" s="202"/>
      <c r="G34" s="203"/>
      <c r="H34" s="204"/>
      <c r="I34" s="205"/>
      <c r="J34" s="205"/>
      <c r="K34" s="206"/>
      <c r="L34" s="203"/>
      <c r="M34" s="204"/>
      <c r="N34" s="206"/>
      <c r="O34" s="206"/>
      <c r="P34" s="206"/>
      <c r="Q34" s="204"/>
      <c r="R34" s="207"/>
      <c r="S34" s="49"/>
    </row>
    <row r="35" ht="21.0" customHeight="1">
      <c r="A35" s="49"/>
      <c r="B35" s="208"/>
      <c r="C35" s="208"/>
      <c r="D35" s="202"/>
      <c r="E35" s="202"/>
      <c r="F35" s="202"/>
      <c r="G35" s="203"/>
      <c r="H35" s="204"/>
      <c r="I35" s="205"/>
      <c r="J35" s="205"/>
      <c r="K35" s="206"/>
      <c r="L35" s="203"/>
      <c r="M35" s="204"/>
      <c r="N35" s="206"/>
      <c r="O35" s="206"/>
      <c r="P35" s="206"/>
      <c r="Q35" s="204"/>
      <c r="R35" s="207"/>
      <c r="S35" s="49"/>
    </row>
    <row r="36" ht="21.0" customHeight="1">
      <c r="A36" s="49"/>
      <c r="B36" s="208"/>
      <c r="C36" s="208"/>
      <c r="D36" s="202"/>
      <c r="E36" s="202"/>
      <c r="F36" s="202"/>
      <c r="G36" s="203"/>
      <c r="H36" s="204"/>
      <c r="I36" s="205"/>
      <c r="J36" s="205"/>
      <c r="K36" s="206"/>
      <c r="L36" s="203"/>
      <c r="M36" s="204"/>
      <c r="N36" s="206"/>
      <c r="O36" s="206"/>
      <c r="P36" s="206"/>
      <c r="Q36" s="204"/>
      <c r="R36" s="207"/>
      <c r="S36" s="49"/>
    </row>
    <row r="37" ht="21.0" customHeight="1">
      <c r="A37" s="49"/>
      <c r="B37" s="208"/>
      <c r="C37" s="208"/>
      <c r="D37" s="202"/>
      <c r="E37" s="202"/>
      <c r="F37" s="202"/>
      <c r="G37" s="203"/>
      <c r="H37" s="204"/>
      <c r="I37" s="205"/>
      <c r="J37" s="205"/>
      <c r="K37" s="206"/>
      <c r="L37" s="203"/>
      <c r="M37" s="204"/>
      <c r="N37" s="206"/>
      <c r="O37" s="206"/>
      <c r="P37" s="206"/>
      <c r="Q37" s="204"/>
      <c r="R37" s="207"/>
      <c r="S37" s="49"/>
    </row>
    <row r="38" ht="21.0" customHeight="1">
      <c r="A38" s="49"/>
      <c r="B38" s="208"/>
      <c r="C38" s="208"/>
      <c r="D38" s="202"/>
      <c r="E38" s="202"/>
      <c r="F38" s="202"/>
      <c r="G38" s="203"/>
      <c r="H38" s="204"/>
      <c r="I38" s="205"/>
      <c r="J38" s="205"/>
      <c r="K38" s="206"/>
      <c r="L38" s="203"/>
      <c r="M38" s="204"/>
      <c r="N38" s="206"/>
      <c r="O38" s="206"/>
      <c r="P38" s="206"/>
      <c r="Q38" s="204"/>
      <c r="R38" s="207"/>
      <c r="S38" s="49"/>
    </row>
    <row r="39" ht="21.0" customHeight="1">
      <c r="A39" s="49"/>
      <c r="B39" s="208"/>
      <c r="C39" s="208"/>
      <c r="D39" s="202"/>
      <c r="E39" s="202"/>
      <c r="F39" s="202"/>
      <c r="G39" s="203"/>
      <c r="H39" s="204"/>
      <c r="I39" s="205"/>
      <c r="J39" s="205"/>
      <c r="K39" s="206"/>
      <c r="L39" s="203"/>
      <c r="M39" s="204"/>
      <c r="N39" s="206"/>
      <c r="O39" s="206"/>
      <c r="P39" s="206"/>
      <c r="Q39" s="204"/>
      <c r="R39" s="207"/>
      <c r="S39" s="49"/>
    </row>
    <row r="40" ht="21.0" customHeight="1">
      <c r="A40" s="49"/>
      <c r="B40" s="208"/>
      <c r="C40" s="208"/>
      <c r="D40" s="202"/>
      <c r="E40" s="202"/>
      <c r="F40" s="202"/>
      <c r="G40" s="203"/>
      <c r="H40" s="204"/>
      <c r="I40" s="205"/>
      <c r="J40" s="205"/>
      <c r="K40" s="206"/>
      <c r="L40" s="203"/>
      <c r="M40" s="204"/>
      <c r="N40" s="206"/>
      <c r="O40" s="206"/>
      <c r="P40" s="206"/>
      <c r="Q40" s="204"/>
      <c r="R40" s="207"/>
      <c r="S40" s="49"/>
    </row>
    <row r="41" ht="21.0" customHeight="1">
      <c r="A41" s="49"/>
      <c r="B41" s="208"/>
      <c r="C41" s="208"/>
      <c r="D41" s="202"/>
      <c r="E41" s="202"/>
      <c r="F41" s="202"/>
      <c r="G41" s="203"/>
      <c r="H41" s="204"/>
      <c r="I41" s="205"/>
      <c r="J41" s="205"/>
      <c r="K41" s="206"/>
      <c r="L41" s="203"/>
      <c r="M41" s="204"/>
      <c r="N41" s="206"/>
      <c r="O41" s="206"/>
      <c r="P41" s="206"/>
      <c r="Q41" s="204"/>
      <c r="R41" s="207"/>
      <c r="S41" s="49"/>
    </row>
    <row r="42" ht="21.0" customHeight="1">
      <c r="A42" s="49"/>
      <c r="B42" s="208"/>
      <c r="C42" s="208"/>
      <c r="D42" s="202"/>
      <c r="E42" s="202"/>
      <c r="F42" s="202"/>
      <c r="G42" s="203"/>
      <c r="H42" s="204"/>
      <c r="I42" s="205"/>
      <c r="J42" s="205"/>
      <c r="K42" s="206"/>
      <c r="L42" s="203"/>
      <c r="M42" s="204"/>
      <c r="N42" s="206"/>
      <c r="O42" s="206"/>
      <c r="P42" s="206"/>
      <c r="Q42" s="204"/>
      <c r="R42" s="207"/>
      <c r="S42" s="49"/>
    </row>
    <row r="43" ht="21.0" customHeight="1">
      <c r="A43" s="49"/>
      <c r="B43" s="208"/>
      <c r="C43" s="208"/>
      <c r="D43" s="202"/>
      <c r="E43" s="202"/>
      <c r="F43" s="202"/>
      <c r="G43" s="203"/>
      <c r="H43" s="204"/>
      <c r="I43" s="205"/>
      <c r="J43" s="206"/>
      <c r="K43" s="206"/>
      <c r="L43" s="203"/>
      <c r="M43" s="204"/>
      <c r="N43" s="206"/>
      <c r="O43" s="206"/>
      <c r="P43" s="206"/>
      <c r="Q43" s="204"/>
      <c r="R43" s="207"/>
      <c r="S43" s="49"/>
    </row>
    <row r="44" ht="21.0" customHeight="1">
      <c r="A44" s="49"/>
      <c r="B44" s="208"/>
      <c r="C44" s="208"/>
      <c r="D44" s="202"/>
      <c r="E44" s="202"/>
      <c r="F44" s="202"/>
      <c r="G44" s="203"/>
      <c r="H44" s="204"/>
      <c r="I44" s="205"/>
      <c r="J44" s="206"/>
      <c r="K44" s="206"/>
      <c r="L44" s="203"/>
      <c r="M44" s="204"/>
      <c r="N44" s="206"/>
      <c r="O44" s="206"/>
      <c r="P44" s="206"/>
      <c r="Q44" s="204"/>
      <c r="R44" s="207"/>
      <c r="S44" s="49"/>
    </row>
    <row r="45" ht="21.0" customHeight="1">
      <c r="A45" s="49"/>
      <c r="B45" s="208"/>
      <c r="C45" s="208"/>
      <c r="D45" s="202"/>
      <c r="E45" s="202"/>
      <c r="F45" s="202"/>
      <c r="G45" s="203"/>
      <c r="H45" s="204"/>
      <c r="I45" s="206"/>
      <c r="J45" s="206"/>
      <c r="K45" s="206"/>
      <c r="L45" s="203"/>
      <c r="M45" s="204"/>
      <c r="N45" s="206"/>
      <c r="O45" s="206"/>
      <c r="P45" s="206"/>
      <c r="Q45" s="204"/>
      <c r="R45" s="207"/>
      <c r="S45" s="49"/>
    </row>
    <row r="46" ht="21.0" customHeight="1">
      <c r="A46" s="49"/>
      <c r="B46" s="208"/>
      <c r="C46" s="208"/>
      <c r="D46" s="202"/>
      <c r="E46" s="202"/>
      <c r="F46" s="202"/>
      <c r="G46" s="203"/>
      <c r="H46" s="204"/>
      <c r="I46" s="206"/>
      <c r="J46" s="206"/>
      <c r="K46" s="206"/>
      <c r="L46" s="203"/>
      <c r="M46" s="204"/>
      <c r="N46" s="206"/>
      <c r="O46" s="206"/>
      <c r="P46" s="206"/>
      <c r="Q46" s="204"/>
      <c r="R46" s="207"/>
      <c r="S46" s="49"/>
    </row>
    <row r="47" ht="21.0" customHeight="1">
      <c r="A47" s="49"/>
      <c r="B47" s="208"/>
      <c r="C47" s="208"/>
      <c r="D47" s="202"/>
      <c r="E47" s="202"/>
      <c r="F47" s="202"/>
      <c r="G47" s="203"/>
      <c r="H47" s="204"/>
      <c r="I47" s="206"/>
      <c r="J47" s="206"/>
      <c r="K47" s="206"/>
      <c r="L47" s="203"/>
      <c r="M47" s="204"/>
      <c r="N47" s="206"/>
      <c r="O47" s="206"/>
      <c r="P47" s="206"/>
      <c r="Q47" s="204"/>
      <c r="R47" s="207"/>
      <c r="S47" s="49"/>
    </row>
    <row r="48" ht="21.0" customHeight="1">
      <c r="A48" s="49"/>
      <c r="B48" s="208"/>
      <c r="C48" s="208"/>
      <c r="D48" s="202"/>
      <c r="E48" s="202"/>
      <c r="F48" s="202"/>
      <c r="G48" s="203"/>
      <c r="H48" s="204"/>
      <c r="I48" s="206"/>
      <c r="J48" s="206"/>
      <c r="K48" s="206"/>
      <c r="L48" s="203"/>
      <c r="M48" s="204"/>
      <c r="N48" s="206"/>
      <c r="O48" s="206"/>
      <c r="P48" s="206"/>
      <c r="Q48" s="204"/>
      <c r="R48" s="207"/>
      <c r="S48" s="49"/>
    </row>
    <row r="49" ht="21.0" customHeight="1">
      <c r="A49" s="49"/>
      <c r="B49" s="208"/>
      <c r="C49" s="208"/>
      <c r="D49" s="202"/>
      <c r="E49" s="202"/>
      <c r="F49" s="202"/>
      <c r="G49" s="203"/>
      <c r="H49" s="204"/>
      <c r="I49" s="206"/>
      <c r="J49" s="206"/>
      <c r="K49" s="206"/>
      <c r="L49" s="203"/>
      <c r="M49" s="204"/>
      <c r="N49" s="206"/>
      <c r="O49" s="206"/>
      <c r="P49" s="206"/>
      <c r="Q49" s="204"/>
      <c r="R49" s="207"/>
      <c r="S49" s="49"/>
    </row>
    <row r="50" ht="21.0" customHeight="1">
      <c r="A50" s="49"/>
      <c r="B50" s="208"/>
      <c r="C50" s="208"/>
      <c r="D50" s="202"/>
      <c r="E50" s="202"/>
      <c r="F50" s="202"/>
      <c r="G50" s="203"/>
      <c r="H50" s="204"/>
      <c r="I50" s="206"/>
      <c r="J50" s="206"/>
      <c r="K50" s="206"/>
      <c r="L50" s="203"/>
      <c r="M50" s="204"/>
      <c r="N50" s="206"/>
      <c r="O50" s="206"/>
      <c r="P50" s="206"/>
      <c r="Q50" s="204"/>
      <c r="R50" s="207"/>
      <c r="S50" s="49"/>
    </row>
    <row r="51" ht="21.0" customHeight="1">
      <c r="A51" s="49"/>
      <c r="B51" s="208"/>
      <c r="C51" s="208"/>
      <c r="D51" s="202"/>
      <c r="E51" s="202"/>
      <c r="F51" s="202"/>
      <c r="G51" s="203"/>
      <c r="H51" s="204"/>
      <c r="I51" s="206"/>
      <c r="J51" s="206"/>
      <c r="K51" s="206"/>
      <c r="L51" s="203"/>
      <c r="M51" s="204"/>
      <c r="N51" s="206"/>
      <c r="O51" s="206"/>
      <c r="P51" s="206"/>
      <c r="Q51" s="204"/>
      <c r="R51" s="207"/>
      <c r="S51" s="49"/>
    </row>
    <row r="52" ht="21.0" customHeight="1">
      <c r="A52" s="49"/>
      <c r="B52" s="208"/>
      <c r="C52" s="208"/>
      <c r="D52" s="202"/>
      <c r="E52" s="202"/>
      <c r="F52" s="202"/>
      <c r="G52" s="203"/>
      <c r="H52" s="204"/>
      <c r="I52" s="206"/>
      <c r="J52" s="206"/>
      <c r="K52" s="206"/>
      <c r="L52" s="203"/>
      <c r="M52" s="204"/>
      <c r="N52" s="206"/>
      <c r="O52" s="206"/>
      <c r="P52" s="206"/>
      <c r="Q52" s="204"/>
      <c r="R52" s="207"/>
      <c r="S52" s="49"/>
    </row>
    <row r="53" ht="21.0" customHeight="1">
      <c r="A53" s="49"/>
      <c r="B53" s="208"/>
      <c r="C53" s="208"/>
      <c r="D53" s="202"/>
      <c r="E53" s="202"/>
      <c r="F53" s="202"/>
      <c r="G53" s="203"/>
      <c r="H53" s="204"/>
      <c r="I53" s="206"/>
      <c r="J53" s="206"/>
      <c r="K53" s="206"/>
      <c r="L53" s="203"/>
      <c r="M53" s="204"/>
      <c r="N53" s="206"/>
      <c r="O53" s="206"/>
      <c r="P53" s="206"/>
      <c r="Q53" s="204"/>
      <c r="R53" s="207"/>
      <c r="S53" s="49"/>
    </row>
    <row r="54" ht="21.0" customHeight="1">
      <c r="A54" s="49"/>
      <c r="B54" s="208"/>
      <c r="C54" s="208"/>
      <c r="D54" s="202"/>
      <c r="E54" s="202"/>
      <c r="F54" s="202"/>
      <c r="G54" s="203"/>
      <c r="H54" s="204"/>
      <c r="I54" s="206"/>
      <c r="J54" s="206"/>
      <c r="K54" s="206"/>
      <c r="L54" s="203"/>
      <c r="M54" s="204"/>
      <c r="N54" s="206"/>
      <c r="O54" s="206"/>
      <c r="P54" s="206"/>
      <c r="Q54" s="204"/>
      <c r="R54" s="207"/>
      <c r="S54" s="49"/>
    </row>
    <row r="55" ht="21.0" customHeight="1">
      <c r="A55" s="49"/>
      <c r="B55" s="208"/>
      <c r="C55" s="208"/>
      <c r="D55" s="202"/>
      <c r="E55" s="202"/>
      <c r="F55" s="202"/>
      <c r="G55" s="203"/>
      <c r="H55" s="204"/>
      <c r="I55" s="206"/>
      <c r="J55" s="206"/>
      <c r="K55" s="206"/>
      <c r="L55" s="203"/>
      <c r="M55" s="204"/>
      <c r="N55" s="206"/>
      <c r="O55" s="206"/>
      <c r="P55" s="206"/>
      <c r="Q55" s="204"/>
      <c r="R55" s="207"/>
      <c r="S55" s="49"/>
    </row>
    <row r="56" ht="21.0" customHeight="1">
      <c r="A56" s="49"/>
      <c r="B56" s="208"/>
      <c r="C56" s="208"/>
      <c r="D56" s="202"/>
      <c r="E56" s="202"/>
      <c r="F56" s="202"/>
      <c r="G56" s="203"/>
      <c r="H56" s="204"/>
      <c r="I56" s="206"/>
      <c r="J56" s="206"/>
      <c r="K56" s="206"/>
      <c r="L56" s="203"/>
      <c r="M56" s="204"/>
      <c r="N56" s="206"/>
      <c r="O56" s="206"/>
      <c r="P56" s="206"/>
      <c r="Q56" s="204"/>
      <c r="R56" s="207"/>
      <c r="S56" s="49"/>
    </row>
    <row r="57" ht="21.0" customHeight="1">
      <c r="A57" s="49"/>
      <c r="B57" s="208"/>
      <c r="C57" s="208"/>
      <c r="D57" s="202"/>
      <c r="E57" s="202"/>
      <c r="F57" s="202"/>
      <c r="G57" s="203"/>
      <c r="H57" s="204"/>
      <c r="I57" s="206"/>
      <c r="J57" s="206"/>
      <c r="K57" s="206"/>
      <c r="L57" s="203"/>
      <c r="M57" s="204"/>
      <c r="N57" s="206"/>
      <c r="O57" s="206"/>
      <c r="P57" s="206"/>
      <c r="Q57" s="204"/>
      <c r="R57" s="207"/>
      <c r="S57" s="49"/>
    </row>
    <row r="58" ht="21.0" customHeight="1">
      <c r="A58" s="49"/>
      <c r="B58" s="208"/>
      <c r="C58" s="208"/>
      <c r="D58" s="202"/>
      <c r="E58" s="202"/>
      <c r="F58" s="202"/>
      <c r="G58" s="203"/>
      <c r="H58" s="204"/>
      <c r="I58" s="206"/>
      <c r="J58" s="206"/>
      <c r="K58" s="206"/>
      <c r="L58" s="203"/>
      <c r="M58" s="204"/>
      <c r="N58" s="206"/>
      <c r="O58" s="206"/>
      <c r="P58" s="206"/>
      <c r="Q58" s="204"/>
      <c r="R58" s="207"/>
      <c r="S58" s="49"/>
    </row>
    <row r="59" ht="21.0" customHeight="1">
      <c r="A59" s="49"/>
      <c r="B59" s="208"/>
      <c r="C59" s="208"/>
      <c r="D59" s="202"/>
      <c r="E59" s="202"/>
      <c r="F59" s="202"/>
      <c r="G59" s="203"/>
      <c r="H59" s="204"/>
      <c r="I59" s="206"/>
      <c r="J59" s="206"/>
      <c r="K59" s="206"/>
      <c r="L59" s="203"/>
      <c r="M59" s="204"/>
      <c r="N59" s="206"/>
      <c r="O59" s="206"/>
      <c r="P59" s="206"/>
      <c r="Q59" s="204"/>
      <c r="R59" s="207"/>
      <c r="S59" s="49"/>
    </row>
    <row r="60" ht="21.0" customHeight="1">
      <c r="A60" s="49"/>
      <c r="B60" s="208"/>
      <c r="C60" s="208"/>
      <c r="D60" s="202"/>
      <c r="E60" s="202"/>
      <c r="F60" s="202"/>
      <c r="G60" s="203"/>
      <c r="H60" s="204"/>
      <c r="I60" s="206"/>
      <c r="J60" s="206"/>
      <c r="K60" s="206"/>
      <c r="L60" s="203"/>
      <c r="M60" s="204"/>
      <c r="N60" s="206"/>
      <c r="O60" s="206"/>
      <c r="P60" s="206"/>
      <c r="Q60" s="204"/>
      <c r="R60" s="207"/>
      <c r="S60" s="49"/>
    </row>
    <row r="61" ht="21.0" customHeight="1">
      <c r="A61" s="49"/>
      <c r="B61" s="208"/>
      <c r="C61" s="208"/>
      <c r="D61" s="202"/>
      <c r="E61" s="202"/>
      <c r="F61" s="202"/>
      <c r="G61" s="203"/>
      <c r="H61" s="204"/>
      <c r="I61" s="206"/>
      <c r="J61" s="206"/>
      <c r="K61" s="206"/>
      <c r="L61" s="203"/>
      <c r="M61" s="204"/>
      <c r="N61" s="206"/>
      <c r="O61" s="206"/>
      <c r="P61" s="206"/>
      <c r="Q61" s="204"/>
      <c r="R61" s="207"/>
      <c r="S61" s="49"/>
    </row>
    <row r="62" ht="21.0" customHeight="1">
      <c r="A62" s="49"/>
      <c r="B62" s="208"/>
      <c r="C62" s="208"/>
      <c r="D62" s="202"/>
      <c r="E62" s="202"/>
      <c r="F62" s="202"/>
      <c r="G62" s="203"/>
      <c r="H62" s="204"/>
      <c r="I62" s="206"/>
      <c r="J62" s="206"/>
      <c r="K62" s="206"/>
      <c r="L62" s="203"/>
      <c r="M62" s="204"/>
      <c r="N62" s="206"/>
      <c r="O62" s="206"/>
      <c r="P62" s="206"/>
      <c r="Q62" s="204"/>
      <c r="R62" s="207"/>
      <c r="S62" s="49"/>
    </row>
    <row r="63" ht="21.0" customHeight="1">
      <c r="A63" s="49"/>
      <c r="B63" s="208"/>
      <c r="C63" s="208"/>
      <c r="D63" s="202"/>
      <c r="E63" s="202"/>
      <c r="F63" s="202"/>
      <c r="G63" s="203"/>
      <c r="H63" s="204"/>
      <c r="I63" s="206"/>
      <c r="J63" s="206"/>
      <c r="K63" s="206"/>
      <c r="L63" s="203"/>
      <c r="M63" s="204"/>
      <c r="N63" s="206"/>
      <c r="O63" s="206"/>
      <c r="P63" s="206"/>
      <c r="Q63" s="204"/>
      <c r="R63" s="207"/>
      <c r="S63" s="49"/>
    </row>
    <row r="64" ht="21.0" customHeight="1">
      <c r="A64" s="49"/>
      <c r="B64" s="208"/>
      <c r="C64" s="208"/>
      <c r="D64" s="202"/>
      <c r="E64" s="202"/>
      <c r="F64" s="202"/>
      <c r="G64" s="203"/>
      <c r="H64" s="204"/>
      <c r="I64" s="206"/>
      <c r="J64" s="206"/>
      <c r="K64" s="206"/>
      <c r="L64" s="203"/>
      <c r="M64" s="204"/>
      <c r="N64" s="206"/>
      <c r="O64" s="206"/>
      <c r="P64" s="206"/>
      <c r="Q64" s="204"/>
      <c r="R64" s="207"/>
      <c r="S64" s="49"/>
    </row>
    <row r="65" ht="21.0" customHeight="1">
      <c r="A65" s="49"/>
      <c r="B65" s="208"/>
      <c r="C65" s="208"/>
      <c r="D65" s="202"/>
      <c r="E65" s="202"/>
      <c r="F65" s="202"/>
      <c r="G65" s="203"/>
      <c r="H65" s="204"/>
      <c r="I65" s="206"/>
      <c r="J65" s="206"/>
      <c r="K65" s="206"/>
      <c r="L65" s="203"/>
      <c r="M65" s="204"/>
      <c r="N65" s="206"/>
      <c r="O65" s="206"/>
      <c r="P65" s="206"/>
      <c r="Q65" s="204"/>
      <c r="R65" s="207"/>
      <c r="S65" s="49"/>
    </row>
    <row r="66" ht="21.0" customHeight="1">
      <c r="A66" s="49"/>
      <c r="B66" s="208"/>
      <c r="C66" s="208"/>
      <c r="D66" s="202"/>
      <c r="E66" s="202"/>
      <c r="F66" s="202"/>
      <c r="G66" s="203"/>
      <c r="H66" s="204"/>
      <c r="I66" s="206"/>
      <c r="J66" s="206"/>
      <c r="K66" s="206"/>
      <c r="L66" s="203"/>
      <c r="M66" s="204"/>
      <c r="N66" s="206"/>
      <c r="O66" s="206"/>
      <c r="P66" s="206"/>
      <c r="Q66" s="204"/>
      <c r="R66" s="207"/>
      <c r="S66" s="49"/>
    </row>
    <row r="67" ht="21.0" customHeight="1">
      <c r="A67" s="49"/>
      <c r="B67" s="208"/>
      <c r="C67" s="208"/>
      <c r="D67" s="202"/>
      <c r="E67" s="202"/>
      <c r="F67" s="202"/>
      <c r="G67" s="203"/>
      <c r="H67" s="204"/>
      <c r="I67" s="206"/>
      <c r="J67" s="206"/>
      <c r="K67" s="206"/>
      <c r="L67" s="203"/>
      <c r="M67" s="204"/>
      <c r="N67" s="206"/>
      <c r="O67" s="206"/>
      <c r="P67" s="206"/>
      <c r="Q67" s="204"/>
      <c r="R67" s="207"/>
      <c r="S67" s="49"/>
    </row>
    <row r="68" ht="21.0" customHeight="1">
      <c r="A68" s="49"/>
      <c r="B68" s="208"/>
      <c r="C68" s="208"/>
      <c r="D68" s="202"/>
      <c r="E68" s="202"/>
      <c r="F68" s="202"/>
      <c r="G68" s="203"/>
      <c r="H68" s="204"/>
      <c r="I68" s="206"/>
      <c r="J68" s="206"/>
      <c r="K68" s="206"/>
      <c r="L68" s="203"/>
      <c r="M68" s="204"/>
      <c r="N68" s="206"/>
      <c r="O68" s="206"/>
      <c r="P68" s="206"/>
      <c r="Q68" s="204"/>
      <c r="R68" s="207"/>
      <c r="S68" s="49"/>
    </row>
    <row r="69" ht="21.0" customHeight="1">
      <c r="A69" s="49"/>
      <c r="B69" s="208"/>
      <c r="C69" s="208"/>
      <c r="D69" s="202"/>
      <c r="E69" s="202"/>
      <c r="F69" s="202"/>
      <c r="G69" s="203"/>
      <c r="H69" s="204"/>
      <c r="I69" s="206"/>
      <c r="J69" s="206"/>
      <c r="K69" s="206"/>
      <c r="L69" s="203"/>
      <c r="M69" s="204"/>
      <c r="N69" s="206"/>
      <c r="O69" s="206"/>
      <c r="P69" s="206"/>
      <c r="Q69" s="204"/>
      <c r="R69" s="207"/>
      <c r="S69" s="49"/>
    </row>
    <row r="70" ht="21.0" customHeight="1">
      <c r="A70" s="49"/>
      <c r="B70" s="208"/>
      <c r="C70" s="208"/>
      <c r="D70" s="202"/>
      <c r="E70" s="202"/>
      <c r="F70" s="202"/>
      <c r="G70" s="203"/>
      <c r="H70" s="204"/>
      <c r="I70" s="206"/>
      <c r="J70" s="206"/>
      <c r="K70" s="206"/>
      <c r="L70" s="203"/>
      <c r="M70" s="204"/>
      <c r="N70" s="206"/>
      <c r="O70" s="206"/>
      <c r="P70" s="206"/>
      <c r="Q70" s="204"/>
      <c r="R70" s="207"/>
      <c r="S70" s="49"/>
    </row>
    <row r="71" ht="21.0" customHeight="1">
      <c r="A71" s="49"/>
      <c r="B71" s="208"/>
      <c r="C71" s="208"/>
      <c r="D71" s="202"/>
      <c r="E71" s="202"/>
      <c r="F71" s="202"/>
      <c r="G71" s="203"/>
      <c r="H71" s="204"/>
      <c r="I71" s="206"/>
      <c r="J71" s="206"/>
      <c r="K71" s="206"/>
      <c r="L71" s="203"/>
      <c r="M71" s="204"/>
      <c r="N71" s="206"/>
      <c r="O71" s="206"/>
      <c r="P71" s="206"/>
      <c r="Q71" s="204"/>
      <c r="R71" s="207"/>
      <c r="S71" s="49"/>
    </row>
    <row r="72" ht="21.0" customHeight="1">
      <c r="A72" s="49"/>
      <c r="B72" s="208"/>
      <c r="C72" s="208"/>
      <c r="D72" s="202"/>
      <c r="E72" s="202"/>
      <c r="F72" s="202"/>
      <c r="G72" s="203"/>
      <c r="H72" s="204"/>
      <c r="I72" s="206"/>
      <c r="J72" s="206"/>
      <c r="K72" s="206"/>
      <c r="L72" s="203"/>
      <c r="M72" s="204"/>
      <c r="N72" s="206"/>
      <c r="O72" s="206"/>
      <c r="P72" s="206"/>
      <c r="Q72" s="204"/>
      <c r="R72" s="207"/>
      <c r="S72" s="49"/>
    </row>
    <row r="73" ht="21.0" customHeight="1">
      <c r="A73" s="49"/>
      <c r="B73" s="208"/>
      <c r="C73" s="208"/>
      <c r="D73" s="202"/>
      <c r="E73" s="202"/>
      <c r="F73" s="202"/>
      <c r="G73" s="203"/>
      <c r="H73" s="204"/>
      <c r="I73" s="206"/>
      <c r="J73" s="206"/>
      <c r="K73" s="206"/>
      <c r="L73" s="203"/>
      <c r="M73" s="204"/>
      <c r="N73" s="206"/>
      <c r="O73" s="206"/>
      <c r="P73" s="206"/>
      <c r="Q73" s="204"/>
      <c r="R73" s="207"/>
      <c r="S73" s="49"/>
    </row>
    <row r="74" ht="21.0" customHeight="1">
      <c r="A74" s="49"/>
      <c r="B74" s="208"/>
      <c r="C74" s="208"/>
      <c r="D74" s="202"/>
      <c r="E74" s="202"/>
      <c r="F74" s="202"/>
      <c r="G74" s="203"/>
      <c r="H74" s="204"/>
      <c r="I74" s="206"/>
      <c r="J74" s="206"/>
      <c r="K74" s="206"/>
      <c r="L74" s="203"/>
      <c r="M74" s="204"/>
      <c r="N74" s="206"/>
      <c r="O74" s="206"/>
      <c r="P74" s="206"/>
      <c r="Q74" s="204"/>
      <c r="R74" s="207"/>
      <c r="S74" s="49"/>
    </row>
    <row r="75" ht="21.0" customHeight="1">
      <c r="A75" s="49"/>
      <c r="B75" s="208"/>
      <c r="C75" s="208"/>
      <c r="D75" s="202"/>
      <c r="E75" s="202"/>
      <c r="F75" s="202"/>
      <c r="G75" s="203"/>
      <c r="H75" s="204"/>
      <c r="I75" s="206"/>
      <c r="J75" s="206"/>
      <c r="K75" s="206"/>
      <c r="L75" s="203"/>
      <c r="M75" s="204"/>
      <c r="N75" s="206"/>
      <c r="O75" s="206"/>
      <c r="P75" s="206"/>
      <c r="Q75" s="204"/>
      <c r="R75" s="207"/>
      <c r="S75" s="49"/>
    </row>
    <row r="76" ht="21.0" customHeight="1">
      <c r="A76" s="49"/>
      <c r="B76" s="208"/>
      <c r="C76" s="208"/>
      <c r="D76" s="202"/>
      <c r="E76" s="202"/>
      <c r="F76" s="202"/>
      <c r="G76" s="203"/>
      <c r="H76" s="204"/>
      <c r="I76" s="206"/>
      <c r="J76" s="206"/>
      <c r="K76" s="206"/>
      <c r="L76" s="203"/>
      <c r="M76" s="204"/>
      <c r="N76" s="206"/>
      <c r="O76" s="206"/>
      <c r="P76" s="206"/>
      <c r="Q76" s="204"/>
      <c r="R76" s="207"/>
      <c r="S76" s="49"/>
    </row>
    <row r="77" ht="21.0" customHeight="1">
      <c r="A77" s="49"/>
      <c r="B77" s="208"/>
      <c r="C77" s="208"/>
      <c r="D77" s="202"/>
      <c r="E77" s="202"/>
      <c r="F77" s="202"/>
      <c r="G77" s="203"/>
      <c r="H77" s="204"/>
      <c r="I77" s="206"/>
      <c r="J77" s="206"/>
      <c r="K77" s="206"/>
      <c r="L77" s="203"/>
      <c r="M77" s="204"/>
      <c r="N77" s="206"/>
      <c r="O77" s="206"/>
      <c r="P77" s="206"/>
      <c r="Q77" s="204"/>
      <c r="R77" s="207"/>
      <c r="S77" s="49"/>
    </row>
    <row r="78" ht="21.0" customHeight="1">
      <c r="A78" s="49"/>
      <c r="B78" s="208"/>
      <c r="C78" s="208"/>
      <c r="D78" s="202"/>
      <c r="E78" s="202"/>
      <c r="F78" s="202"/>
      <c r="G78" s="203"/>
      <c r="H78" s="204"/>
      <c r="I78" s="206"/>
      <c r="J78" s="206"/>
      <c r="K78" s="206"/>
      <c r="L78" s="203"/>
      <c r="M78" s="204"/>
      <c r="N78" s="206"/>
      <c r="O78" s="206"/>
      <c r="P78" s="206"/>
      <c r="Q78" s="204"/>
      <c r="R78" s="207"/>
      <c r="S78" s="49"/>
    </row>
    <row r="79" ht="21.0" customHeight="1">
      <c r="A79" s="49"/>
      <c r="B79" s="208"/>
      <c r="C79" s="208"/>
      <c r="D79" s="202"/>
      <c r="E79" s="202"/>
      <c r="F79" s="202"/>
      <c r="G79" s="203"/>
      <c r="H79" s="204"/>
      <c r="I79" s="206"/>
      <c r="J79" s="206"/>
      <c r="K79" s="206"/>
      <c r="L79" s="203"/>
      <c r="M79" s="204"/>
      <c r="N79" s="206"/>
      <c r="O79" s="206"/>
      <c r="P79" s="206"/>
      <c r="Q79" s="204"/>
      <c r="R79" s="207"/>
      <c r="S79" s="49"/>
    </row>
    <row r="80" ht="21.0" customHeight="1">
      <c r="A80" s="49"/>
      <c r="B80" s="208"/>
      <c r="C80" s="208"/>
      <c r="D80" s="202"/>
      <c r="E80" s="202"/>
      <c r="F80" s="202"/>
      <c r="G80" s="203"/>
      <c r="H80" s="204"/>
      <c r="I80" s="206"/>
      <c r="J80" s="206"/>
      <c r="K80" s="206"/>
      <c r="L80" s="203"/>
      <c r="M80" s="204"/>
      <c r="N80" s="206"/>
      <c r="O80" s="206"/>
      <c r="P80" s="206"/>
      <c r="Q80" s="204"/>
      <c r="R80" s="207"/>
      <c r="S80" s="49"/>
    </row>
    <row r="81" ht="21.0" customHeight="1">
      <c r="A81" s="49"/>
      <c r="B81" s="208"/>
      <c r="C81" s="208"/>
      <c r="D81" s="202"/>
      <c r="E81" s="202"/>
      <c r="F81" s="202"/>
      <c r="G81" s="203"/>
      <c r="H81" s="204"/>
      <c r="I81" s="206"/>
      <c r="J81" s="206"/>
      <c r="K81" s="206"/>
      <c r="L81" s="203"/>
      <c r="M81" s="204"/>
      <c r="N81" s="206"/>
      <c r="O81" s="206"/>
      <c r="P81" s="206"/>
      <c r="Q81" s="204"/>
      <c r="R81" s="207"/>
      <c r="S81" s="49"/>
    </row>
    <row r="82" ht="21.0" customHeight="1">
      <c r="A82" s="49"/>
      <c r="B82" s="208"/>
      <c r="C82" s="208"/>
      <c r="D82" s="202"/>
      <c r="E82" s="202"/>
      <c r="F82" s="202"/>
      <c r="G82" s="203"/>
      <c r="H82" s="204"/>
      <c r="I82" s="206"/>
      <c r="J82" s="206"/>
      <c r="K82" s="206"/>
      <c r="L82" s="203"/>
      <c r="M82" s="204"/>
      <c r="N82" s="206"/>
      <c r="O82" s="206"/>
      <c r="P82" s="206"/>
      <c r="Q82" s="204"/>
      <c r="R82" s="207"/>
      <c r="S82" s="49"/>
    </row>
    <row r="83" ht="21.0" customHeight="1">
      <c r="A83" s="49"/>
      <c r="B83" s="208"/>
      <c r="C83" s="208"/>
      <c r="D83" s="202"/>
      <c r="E83" s="202"/>
      <c r="F83" s="202"/>
      <c r="G83" s="203"/>
      <c r="H83" s="204"/>
      <c r="I83" s="206"/>
      <c r="J83" s="206"/>
      <c r="K83" s="206"/>
      <c r="L83" s="203"/>
      <c r="M83" s="204"/>
      <c r="N83" s="206"/>
      <c r="O83" s="206"/>
      <c r="P83" s="206"/>
      <c r="Q83" s="204"/>
      <c r="R83" s="207"/>
      <c r="S83" s="49"/>
    </row>
    <row r="84" ht="21.0" customHeight="1">
      <c r="A84" s="49"/>
      <c r="B84" s="208"/>
      <c r="C84" s="208"/>
      <c r="D84" s="202"/>
      <c r="E84" s="202"/>
      <c r="F84" s="202"/>
      <c r="G84" s="203"/>
      <c r="H84" s="204"/>
      <c r="I84" s="206"/>
      <c r="J84" s="206"/>
      <c r="K84" s="206"/>
      <c r="L84" s="203"/>
      <c r="M84" s="204"/>
      <c r="N84" s="206"/>
      <c r="O84" s="206"/>
      <c r="P84" s="206"/>
      <c r="Q84" s="204"/>
      <c r="R84" s="207"/>
      <c r="S84" s="49"/>
    </row>
    <row r="85" ht="21.0" customHeight="1">
      <c r="A85" s="49"/>
      <c r="B85" s="208"/>
      <c r="C85" s="208"/>
      <c r="D85" s="202"/>
      <c r="E85" s="202"/>
      <c r="F85" s="202"/>
      <c r="G85" s="203"/>
      <c r="H85" s="204"/>
      <c r="I85" s="206"/>
      <c r="J85" s="206"/>
      <c r="K85" s="206"/>
      <c r="L85" s="203"/>
      <c r="M85" s="204"/>
      <c r="N85" s="206"/>
      <c r="O85" s="206"/>
      <c r="P85" s="206"/>
      <c r="Q85" s="204"/>
      <c r="R85" s="207"/>
      <c r="S85" s="49"/>
    </row>
    <row r="86" ht="21.0" customHeight="1">
      <c r="A86" s="49"/>
      <c r="B86" s="208"/>
      <c r="C86" s="208"/>
      <c r="D86" s="202"/>
      <c r="E86" s="202"/>
      <c r="F86" s="202"/>
      <c r="G86" s="203"/>
      <c r="H86" s="204"/>
      <c r="I86" s="206"/>
      <c r="J86" s="206"/>
      <c r="K86" s="206"/>
      <c r="L86" s="203"/>
      <c r="M86" s="204"/>
      <c r="N86" s="206"/>
      <c r="O86" s="206"/>
      <c r="P86" s="206"/>
      <c r="Q86" s="204"/>
      <c r="R86" s="207"/>
      <c r="S86" s="49"/>
    </row>
    <row r="87" ht="21.0" customHeight="1">
      <c r="A87" s="49"/>
      <c r="B87" s="208"/>
      <c r="C87" s="208"/>
      <c r="D87" s="202"/>
      <c r="E87" s="202"/>
      <c r="F87" s="202"/>
      <c r="G87" s="203"/>
      <c r="H87" s="204"/>
      <c r="I87" s="206"/>
      <c r="J87" s="206"/>
      <c r="K87" s="206"/>
      <c r="L87" s="203"/>
      <c r="M87" s="204"/>
      <c r="N87" s="206"/>
      <c r="O87" s="206"/>
      <c r="P87" s="206"/>
      <c r="Q87" s="204"/>
      <c r="R87" s="207"/>
      <c r="S87" s="49"/>
    </row>
    <row r="88" ht="21.0" customHeight="1">
      <c r="A88" s="49"/>
      <c r="B88" s="208"/>
      <c r="C88" s="208"/>
      <c r="D88" s="202"/>
      <c r="E88" s="202"/>
      <c r="F88" s="202"/>
      <c r="G88" s="203"/>
      <c r="H88" s="204"/>
      <c r="I88" s="206"/>
      <c r="J88" s="206"/>
      <c r="K88" s="206"/>
      <c r="L88" s="203"/>
      <c r="M88" s="204"/>
      <c r="N88" s="206"/>
      <c r="O88" s="206"/>
      <c r="P88" s="206"/>
      <c r="Q88" s="204"/>
      <c r="R88" s="207"/>
      <c r="S88" s="49"/>
    </row>
    <row r="89" ht="21.0" customHeight="1">
      <c r="A89" s="49"/>
      <c r="B89" s="208"/>
      <c r="C89" s="208"/>
      <c r="D89" s="202"/>
      <c r="E89" s="202"/>
      <c r="F89" s="202"/>
      <c r="G89" s="203"/>
      <c r="H89" s="204"/>
      <c r="I89" s="206"/>
      <c r="J89" s="206"/>
      <c r="K89" s="206"/>
      <c r="L89" s="203"/>
      <c r="M89" s="204"/>
      <c r="N89" s="206"/>
      <c r="O89" s="206"/>
      <c r="P89" s="206"/>
      <c r="Q89" s="204"/>
      <c r="R89" s="207"/>
      <c r="S89" s="49"/>
    </row>
    <row r="90" ht="21.0" customHeight="1">
      <c r="A90" s="49"/>
      <c r="B90" s="208"/>
      <c r="C90" s="208"/>
      <c r="D90" s="202"/>
      <c r="E90" s="202"/>
      <c r="F90" s="202"/>
      <c r="G90" s="203"/>
      <c r="H90" s="204"/>
      <c r="I90" s="206"/>
      <c r="J90" s="206"/>
      <c r="K90" s="206"/>
      <c r="L90" s="203"/>
      <c r="M90" s="204"/>
      <c r="N90" s="206"/>
      <c r="O90" s="206"/>
      <c r="P90" s="206"/>
      <c r="Q90" s="204"/>
      <c r="R90" s="207"/>
      <c r="S90" s="49"/>
    </row>
    <row r="91" ht="21.0" customHeight="1">
      <c r="A91" s="49"/>
      <c r="B91" s="208"/>
      <c r="C91" s="208"/>
      <c r="D91" s="202"/>
      <c r="E91" s="202"/>
      <c r="F91" s="202"/>
      <c r="G91" s="203"/>
      <c r="H91" s="204"/>
      <c r="I91" s="206"/>
      <c r="J91" s="206"/>
      <c r="K91" s="206"/>
      <c r="L91" s="203"/>
      <c r="M91" s="204"/>
      <c r="N91" s="206"/>
      <c r="O91" s="206"/>
      <c r="P91" s="206"/>
      <c r="Q91" s="204"/>
      <c r="R91" s="207"/>
      <c r="S91" s="49"/>
    </row>
    <row r="92" ht="21.0" customHeight="1">
      <c r="A92" s="49"/>
      <c r="B92" s="208"/>
      <c r="C92" s="208"/>
      <c r="D92" s="202"/>
      <c r="E92" s="202"/>
      <c r="F92" s="202"/>
      <c r="G92" s="203"/>
      <c r="H92" s="204"/>
      <c r="I92" s="206"/>
      <c r="J92" s="206"/>
      <c r="K92" s="206"/>
      <c r="L92" s="203"/>
      <c r="M92" s="204"/>
      <c r="N92" s="206"/>
      <c r="O92" s="206"/>
      <c r="P92" s="206"/>
      <c r="Q92" s="204"/>
      <c r="R92" s="207"/>
      <c r="S92" s="49"/>
    </row>
    <row r="93" ht="21.0" customHeight="1">
      <c r="A93" s="49"/>
      <c r="B93" s="208"/>
      <c r="C93" s="208"/>
      <c r="D93" s="202"/>
      <c r="E93" s="202"/>
      <c r="F93" s="202"/>
      <c r="G93" s="203"/>
      <c r="H93" s="204"/>
      <c r="I93" s="206"/>
      <c r="J93" s="206"/>
      <c r="K93" s="206"/>
      <c r="L93" s="203"/>
      <c r="M93" s="204"/>
      <c r="N93" s="206"/>
      <c r="O93" s="206"/>
      <c r="P93" s="206"/>
      <c r="Q93" s="204"/>
      <c r="R93" s="207"/>
      <c r="S93" s="49"/>
    </row>
    <row r="94" ht="21.0" customHeight="1">
      <c r="A94" s="49"/>
      <c r="B94" s="208"/>
      <c r="C94" s="208"/>
      <c r="D94" s="202"/>
      <c r="E94" s="202"/>
      <c r="F94" s="202"/>
      <c r="G94" s="203"/>
      <c r="H94" s="204"/>
      <c r="I94" s="206"/>
      <c r="J94" s="206"/>
      <c r="K94" s="206"/>
      <c r="L94" s="203"/>
      <c r="M94" s="204"/>
      <c r="N94" s="206"/>
      <c r="O94" s="206"/>
      <c r="P94" s="206"/>
      <c r="Q94" s="204"/>
      <c r="R94" s="207"/>
      <c r="S94" s="49"/>
    </row>
    <row r="95" ht="21.0" customHeight="1">
      <c r="A95" s="49"/>
      <c r="B95" s="208"/>
      <c r="C95" s="208"/>
      <c r="D95" s="202"/>
      <c r="E95" s="202"/>
      <c r="F95" s="202"/>
      <c r="G95" s="203"/>
      <c r="H95" s="204"/>
      <c r="I95" s="205"/>
      <c r="J95" s="206"/>
      <c r="K95" s="206"/>
      <c r="L95" s="203"/>
      <c r="M95" s="204"/>
      <c r="N95" s="206"/>
      <c r="O95" s="206"/>
      <c r="P95" s="206"/>
      <c r="Q95" s="204"/>
      <c r="R95" s="207"/>
      <c r="S95" s="49"/>
    </row>
    <row r="96" ht="21.0" customHeight="1">
      <c r="A96" s="49"/>
      <c r="B96" s="208"/>
      <c r="C96" s="208"/>
      <c r="D96" s="202"/>
      <c r="E96" s="202"/>
      <c r="F96" s="202"/>
      <c r="G96" s="203"/>
      <c r="H96" s="204"/>
      <c r="I96" s="206"/>
      <c r="J96" s="206"/>
      <c r="K96" s="206"/>
      <c r="L96" s="203"/>
      <c r="M96" s="204"/>
      <c r="N96" s="206"/>
      <c r="O96" s="206"/>
      <c r="P96" s="206"/>
      <c r="Q96" s="204"/>
      <c r="R96" s="207"/>
      <c r="S96" s="49"/>
    </row>
    <row r="97" ht="21.0" customHeight="1">
      <c r="A97" s="49"/>
      <c r="B97" s="208"/>
      <c r="C97" s="208"/>
      <c r="D97" s="202"/>
      <c r="E97" s="202"/>
      <c r="F97" s="202"/>
      <c r="G97" s="203"/>
      <c r="H97" s="204"/>
      <c r="I97" s="206"/>
      <c r="J97" s="206"/>
      <c r="K97" s="206"/>
      <c r="L97" s="203"/>
      <c r="M97" s="204"/>
      <c r="N97" s="206"/>
      <c r="O97" s="206"/>
      <c r="P97" s="206"/>
      <c r="Q97" s="204"/>
      <c r="R97" s="207"/>
      <c r="S97" s="49"/>
    </row>
    <row r="98" ht="21.0" customHeight="1">
      <c r="A98" s="49"/>
      <c r="B98" s="208"/>
      <c r="C98" s="208"/>
      <c r="D98" s="202"/>
      <c r="E98" s="202"/>
      <c r="F98" s="202"/>
      <c r="G98" s="203"/>
      <c r="H98" s="204"/>
      <c r="I98" s="206"/>
      <c r="J98" s="206"/>
      <c r="K98" s="206"/>
      <c r="L98" s="203"/>
      <c r="M98" s="204"/>
      <c r="N98" s="206"/>
      <c r="O98" s="206"/>
      <c r="P98" s="206"/>
      <c r="Q98" s="204"/>
      <c r="R98" s="207"/>
      <c r="S98" s="49"/>
    </row>
    <row r="99" ht="21.0" customHeight="1">
      <c r="A99" s="49"/>
      <c r="B99" s="208"/>
      <c r="C99" s="208"/>
      <c r="D99" s="202"/>
      <c r="E99" s="202"/>
      <c r="F99" s="202"/>
      <c r="G99" s="203"/>
      <c r="H99" s="204"/>
      <c r="I99" s="206"/>
      <c r="J99" s="206"/>
      <c r="K99" s="206"/>
      <c r="L99" s="203"/>
      <c r="M99" s="204"/>
      <c r="N99" s="206"/>
      <c r="O99" s="206"/>
      <c r="P99" s="206"/>
      <c r="Q99" s="204"/>
      <c r="R99" s="207"/>
      <c r="S99" s="49"/>
    </row>
    <row r="100" ht="21.0" customHeight="1">
      <c r="A100" s="49"/>
      <c r="B100" s="208"/>
      <c r="C100" s="208"/>
      <c r="D100" s="202"/>
      <c r="E100" s="202"/>
      <c r="F100" s="202"/>
      <c r="G100" s="203"/>
      <c r="H100" s="204"/>
      <c r="I100" s="206"/>
      <c r="J100" s="206"/>
      <c r="K100" s="206"/>
      <c r="L100" s="203"/>
      <c r="M100" s="204"/>
      <c r="N100" s="206"/>
      <c r="O100" s="206"/>
      <c r="P100" s="206"/>
      <c r="Q100" s="204"/>
      <c r="R100" s="207"/>
      <c r="S100" s="49"/>
    </row>
    <row r="101" ht="21.0" customHeight="1">
      <c r="A101" s="49"/>
      <c r="B101" s="208"/>
      <c r="C101" s="208"/>
      <c r="D101" s="202"/>
      <c r="E101" s="202"/>
      <c r="F101" s="202"/>
      <c r="G101" s="203"/>
      <c r="H101" s="204"/>
      <c r="I101" s="206"/>
      <c r="J101" s="206"/>
      <c r="K101" s="206"/>
      <c r="L101" s="203"/>
      <c r="M101" s="204"/>
      <c r="N101" s="206"/>
      <c r="O101" s="206"/>
      <c r="P101" s="206"/>
      <c r="Q101" s="204"/>
      <c r="R101" s="207"/>
      <c r="S101" s="49"/>
    </row>
    <row r="102" ht="21.0" customHeight="1">
      <c r="A102" s="49"/>
      <c r="B102" s="208"/>
      <c r="C102" s="208"/>
      <c r="D102" s="202"/>
      <c r="E102" s="202"/>
      <c r="F102" s="202"/>
      <c r="G102" s="203"/>
      <c r="H102" s="204"/>
      <c r="I102" s="206"/>
      <c r="J102" s="206"/>
      <c r="K102" s="206"/>
      <c r="L102" s="203"/>
      <c r="M102" s="204"/>
      <c r="N102" s="206"/>
      <c r="O102" s="206"/>
      <c r="P102" s="206"/>
      <c r="Q102" s="204"/>
      <c r="R102" s="207"/>
      <c r="S102" s="49"/>
    </row>
    <row r="103" ht="21.0" customHeight="1">
      <c r="A103" s="49"/>
      <c r="B103" s="208"/>
      <c r="C103" s="208"/>
      <c r="D103" s="202"/>
      <c r="E103" s="202"/>
      <c r="F103" s="202"/>
      <c r="G103" s="203"/>
      <c r="H103" s="204"/>
      <c r="I103" s="206"/>
      <c r="J103" s="206"/>
      <c r="K103" s="206"/>
      <c r="L103" s="203"/>
      <c r="M103" s="204"/>
      <c r="N103" s="206"/>
      <c r="O103" s="206"/>
      <c r="P103" s="206"/>
      <c r="Q103" s="204"/>
      <c r="R103" s="207"/>
      <c r="S103" s="49"/>
    </row>
    <row r="104" ht="21.0" customHeight="1">
      <c r="A104" s="49"/>
      <c r="B104" s="208"/>
      <c r="C104" s="208"/>
      <c r="D104" s="202"/>
      <c r="E104" s="202"/>
      <c r="F104" s="202"/>
      <c r="G104" s="203"/>
      <c r="H104" s="204"/>
      <c r="I104" s="206"/>
      <c r="J104" s="206"/>
      <c r="K104" s="206"/>
      <c r="L104" s="203"/>
      <c r="M104" s="204"/>
      <c r="N104" s="206"/>
      <c r="O104" s="206"/>
      <c r="P104" s="206"/>
      <c r="Q104" s="204"/>
      <c r="R104" s="207"/>
      <c r="S104" s="49"/>
    </row>
    <row r="105" ht="21.0" customHeight="1">
      <c r="A105" s="49"/>
      <c r="B105" s="208"/>
      <c r="C105" s="208"/>
      <c r="D105" s="202"/>
      <c r="E105" s="202"/>
      <c r="F105" s="202"/>
      <c r="G105" s="203"/>
      <c r="H105" s="204"/>
      <c r="I105" s="206"/>
      <c r="J105" s="206"/>
      <c r="K105" s="206"/>
      <c r="L105" s="203"/>
      <c r="M105" s="204"/>
      <c r="N105" s="206"/>
      <c r="O105" s="206"/>
      <c r="P105" s="206"/>
      <c r="Q105" s="204"/>
      <c r="R105" s="207"/>
      <c r="S105" s="49"/>
    </row>
    <row r="106" ht="21.0" customHeight="1">
      <c r="A106" s="49"/>
      <c r="B106" s="208"/>
      <c r="C106" s="208"/>
      <c r="D106" s="202"/>
      <c r="E106" s="202"/>
      <c r="F106" s="202"/>
      <c r="G106" s="203"/>
      <c r="H106" s="204"/>
      <c r="I106" s="206"/>
      <c r="J106" s="206"/>
      <c r="K106" s="206"/>
      <c r="L106" s="203"/>
      <c r="M106" s="204"/>
      <c r="N106" s="206"/>
      <c r="O106" s="206"/>
      <c r="P106" s="206"/>
      <c r="Q106" s="204"/>
      <c r="R106" s="207"/>
      <c r="S106" s="49"/>
    </row>
    <row r="107" ht="21.0" customHeight="1">
      <c r="A107" s="49"/>
      <c r="B107" s="208"/>
      <c r="C107" s="208"/>
      <c r="D107" s="202"/>
      <c r="E107" s="202"/>
      <c r="F107" s="202"/>
      <c r="G107" s="203"/>
      <c r="H107" s="204"/>
      <c r="I107" s="206"/>
      <c r="J107" s="206"/>
      <c r="K107" s="206"/>
      <c r="L107" s="203"/>
      <c r="M107" s="204"/>
      <c r="N107" s="206"/>
      <c r="O107" s="206"/>
      <c r="P107" s="206"/>
      <c r="Q107" s="204"/>
      <c r="R107" s="207"/>
      <c r="S107" s="49"/>
    </row>
    <row r="108" ht="21.0" customHeight="1">
      <c r="A108" s="49"/>
      <c r="B108" s="208"/>
      <c r="C108" s="208"/>
      <c r="D108" s="202"/>
      <c r="E108" s="202"/>
      <c r="F108" s="202"/>
      <c r="G108" s="203"/>
      <c r="H108" s="204"/>
      <c r="I108" s="206"/>
      <c r="J108" s="206"/>
      <c r="K108" s="206"/>
      <c r="L108" s="203"/>
      <c r="M108" s="204"/>
      <c r="N108" s="206"/>
      <c r="O108" s="206"/>
      <c r="P108" s="206"/>
      <c r="Q108" s="204"/>
      <c r="R108" s="207"/>
      <c r="S108" s="49"/>
    </row>
    <row r="109" ht="21.0" customHeight="1">
      <c r="A109" s="49"/>
      <c r="B109" s="208"/>
      <c r="C109" s="208"/>
      <c r="D109" s="202"/>
      <c r="E109" s="202"/>
      <c r="F109" s="202"/>
      <c r="G109" s="203"/>
      <c r="H109" s="204"/>
      <c r="I109" s="206"/>
      <c r="J109" s="206"/>
      <c r="K109" s="206"/>
      <c r="L109" s="203"/>
      <c r="M109" s="204"/>
      <c r="N109" s="206"/>
      <c r="O109" s="206"/>
      <c r="P109" s="206"/>
      <c r="Q109" s="204"/>
      <c r="R109" s="207"/>
      <c r="S109" s="49"/>
    </row>
    <row r="110" ht="21.0" customHeight="1">
      <c r="A110" s="49"/>
      <c r="B110" s="208"/>
      <c r="C110" s="208"/>
      <c r="D110" s="202"/>
      <c r="E110" s="202"/>
      <c r="F110" s="202"/>
      <c r="G110" s="203"/>
      <c r="H110" s="204"/>
      <c r="I110" s="206"/>
      <c r="J110" s="206"/>
      <c r="K110" s="206"/>
      <c r="L110" s="203"/>
      <c r="M110" s="204"/>
      <c r="N110" s="206"/>
      <c r="O110" s="206"/>
      <c r="P110" s="206"/>
      <c r="Q110" s="204"/>
      <c r="R110" s="207"/>
      <c r="S110" s="49"/>
    </row>
    <row r="111" ht="21.0" customHeight="1">
      <c r="A111" s="49"/>
      <c r="B111" s="208"/>
      <c r="C111" s="208"/>
      <c r="D111" s="202"/>
      <c r="E111" s="202"/>
      <c r="F111" s="202"/>
      <c r="G111" s="203"/>
      <c r="H111" s="204"/>
      <c r="I111" s="206"/>
      <c r="J111" s="206"/>
      <c r="K111" s="206"/>
      <c r="L111" s="203"/>
      <c r="M111" s="204"/>
      <c r="N111" s="206"/>
      <c r="O111" s="206"/>
      <c r="P111" s="206"/>
      <c r="Q111" s="204"/>
      <c r="R111" s="207"/>
      <c r="S111" s="49"/>
    </row>
    <row r="112" ht="21.0" customHeight="1">
      <c r="A112" s="49"/>
      <c r="B112" s="208"/>
      <c r="C112" s="208"/>
      <c r="D112" s="202"/>
      <c r="E112" s="202"/>
      <c r="F112" s="202"/>
      <c r="G112" s="203"/>
      <c r="H112" s="204"/>
      <c r="I112" s="206"/>
      <c r="J112" s="206"/>
      <c r="K112" s="206"/>
      <c r="L112" s="203"/>
      <c r="M112" s="204"/>
      <c r="N112" s="206"/>
      <c r="O112" s="206"/>
      <c r="P112" s="206"/>
      <c r="Q112" s="204"/>
      <c r="R112" s="207"/>
      <c r="S112" s="49"/>
    </row>
    <row r="113" ht="21.0" customHeight="1">
      <c r="A113" s="49"/>
      <c r="B113" s="208"/>
      <c r="C113" s="208"/>
      <c r="D113" s="202"/>
      <c r="E113" s="202"/>
      <c r="F113" s="202"/>
      <c r="G113" s="203"/>
      <c r="H113" s="204"/>
      <c r="I113" s="206"/>
      <c r="J113" s="206"/>
      <c r="K113" s="206"/>
      <c r="L113" s="203"/>
      <c r="M113" s="204"/>
      <c r="N113" s="206"/>
      <c r="O113" s="206"/>
      <c r="P113" s="206"/>
      <c r="Q113" s="204"/>
      <c r="R113" s="207"/>
      <c r="S113" s="49"/>
    </row>
    <row r="114" ht="21.0" customHeight="1">
      <c r="A114" s="49"/>
      <c r="B114" s="208"/>
      <c r="C114" s="208"/>
      <c r="D114" s="202"/>
      <c r="E114" s="202"/>
      <c r="F114" s="202"/>
      <c r="G114" s="203"/>
      <c r="H114" s="204"/>
      <c r="I114" s="206"/>
      <c r="J114" s="206"/>
      <c r="K114" s="206"/>
      <c r="L114" s="203"/>
      <c r="M114" s="204"/>
      <c r="N114" s="206"/>
      <c r="O114" s="206"/>
      <c r="P114" s="206"/>
      <c r="Q114" s="204"/>
      <c r="R114" s="207"/>
      <c r="S114" s="49"/>
    </row>
    <row r="115" ht="21.0" customHeight="1">
      <c r="A115" s="49"/>
      <c r="B115" s="208"/>
      <c r="C115" s="208"/>
      <c r="D115" s="202"/>
      <c r="E115" s="202"/>
      <c r="F115" s="202"/>
      <c r="G115" s="203"/>
      <c r="H115" s="204"/>
      <c r="I115" s="206"/>
      <c r="J115" s="206"/>
      <c r="K115" s="206"/>
      <c r="L115" s="203"/>
      <c r="M115" s="204"/>
      <c r="N115" s="206"/>
      <c r="O115" s="206"/>
      <c r="P115" s="206"/>
      <c r="Q115" s="204"/>
      <c r="R115" s="207"/>
      <c r="S115" s="49"/>
    </row>
    <row r="116" ht="21.0" customHeight="1">
      <c r="A116" s="49"/>
      <c r="B116" s="208"/>
      <c r="C116" s="208"/>
      <c r="D116" s="202"/>
      <c r="E116" s="202"/>
      <c r="F116" s="202"/>
      <c r="G116" s="203"/>
      <c r="H116" s="204"/>
      <c r="I116" s="206"/>
      <c r="J116" s="206"/>
      <c r="K116" s="206"/>
      <c r="L116" s="203"/>
      <c r="M116" s="204"/>
      <c r="N116" s="206"/>
      <c r="O116" s="206"/>
      <c r="P116" s="206"/>
      <c r="Q116" s="204"/>
      <c r="R116" s="207"/>
      <c r="S116" s="49"/>
    </row>
    <row r="117" ht="21.0" customHeight="1">
      <c r="A117" s="49"/>
      <c r="B117" s="208"/>
      <c r="C117" s="208"/>
      <c r="D117" s="202"/>
      <c r="E117" s="202"/>
      <c r="F117" s="202"/>
      <c r="G117" s="203"/>
      <c r="H117" s="204"/>
      <c r="I117" s="206"/>
      <c r="J117" s="206"/>
      <c r="K117" s="206"/>
      <c r="L117" s="203"/>
      <c r="M117" s="204"/>
      <c r="N117" s="206"/>
      <c r="O117" s="206"/>
      <c r="P117" s="206"/>
      <c r="Q117" s="204"/>
      <c r="R117" s="207"/>
      <c r="S117" s="49"/>
    </row>
    <row r="118" ht="21.0" customHeight="1">
      <c r="A118" s="49"/>
      <c r="B118" s="208"/>
      <c r="C118" s="208"/>
      <c r="D118" s="202"/>
      <c r="E118" s="202"/>
      <c r="F118" s="202"/>
      <c r="G118" s="203"/>
      <c r="H118" s="204"/>
      <c r="I118" s="206"/>
      <c r="J118" s="206"/>
      <c r="K118" s="206"/>
      <c r="L118" s="203"/>
      <c r="M118" s="204"/>
      <c r="N118" s="206"/>
      <c r="O118" s="206"/>
      <c r="P118" s="206"/>
      <c r="Q118" s="204"/>
      <c r="R118" s="207"/>
      <c r="S118" s="49"/>
    </row>
    <row r="119" ht="21.0" customHeight="1">
      <c r="A119" s="49"/>
      <c r="B119" s="208"/>
      <c r="C119" s="208"/>
      <c r="D119" s="202"/>
      <c r="E119" s="202"/>
      <c r="F119" s="202"/>
      <c r="G119" s="203"/>
      <c r="H119" s="204"/>
      <c r="I119" s="206"/>
      <c r="J119" s="206"/>
      <c r="K119" s="206"/>
      <c r="L119" s="203"/>
      <c r="M119" s="204"/>
      <c r="N119" s="206"/>
      <c r="O119" s="206"/>
      <c r="P119" s="206"/>
      <c r="Q119" s="204"/>
      <c r="R119" s="207"/>
      <c r="S119" s="49"/>
    </row>
    <row r="120" ht="21.0" customHeight="1">
      <c r="A120" s="49"/>
      <c r="B120" s="208"/>
      <c r="C120" s="208"/>
      <c r="D120" s="202"/>
      <c r="E120" s="202"/>
      <c r="F120" s="202"/>
      <c r="G120" s="203"/>
      <c r="H120" s="204"/>
      <c r="I120" s="206"/>
      <c r="J120" s="206"/>
      <c r="K120" s="206"/>
      <c r="L120" s="203"/>
      <c r="M120" s="204"/>
      <c r="N120" s="206"/>
      <c r="O120" s="206"/>
      <c r="P120" s="206"/>
      <c r="Q120" s="204"/>
      <c r="R120" s="207"/>
      <c r="S120" s="49"/>
    </row>
    <row r="121" ht="21.0" customHeight="1">
      <c r="A121" s="49"/>
      <c r="B121" s="208"/>
      <c r="C121" s="208"/>
      <c r="D121" s="202"/>
      <c r="E121" s="202"/>
      <c r="F121" s="202"/>
      <c r="G121" s="203"/>
      <c r="H121" s="204"/>
      <c r="I121" s="206"/>
      <c r="J121" s="206"/>
      <c r="K121" s="206"/>
      <c r="L121" s="203"/>
      <c r="M121" s="204"/>
      <c r="N121" s="206"/>
      <c r="O121" s="206"/>
      <c r="P121" s="206"/>
      <c r="Q121" s="204"/>
      <c r="R121" s="207"/>
      <c r="S121" s="49"/>
    </row>
    <row r="122" ht="21.0" customHeight="1">
      <c r="A122" s="49"/>
      <c r="B122" s="208"/>
      <c r="C122" s="208"/>
      <c r="D122" s="202"/>
      <c r="E122" s="202"/>
      <c r="F122" s="202"/>
      <c r="G122" s="203"/>
      <c r="H122" s="204"/>
      <c r="I122" s="206"/>
      <c r="J122" s="206"/>
      <c r="K122" s="206"/>
      <c r="L122" s="203"/>
      <c r="M122" s="204"/>
      <c r="N122" s="206"/>
      <c r="O122" s="206"/>
      <c r="P122" s="206"/>
      <c r="Q122" s="204"/>
      <c r="R122" s="207"/>
      <c r="S122" s="49"/>
    </row>
    <row r="123" ht="21.0" customHeight="1">
      <c r="A123" s="49"/>
      <c r="B123" s="208"/>
      <c r="C123" s="208"/>
      <c r="D123" s="202"/>
      <c r="E123" s="202"/>
      <c r="F123" s="202"/>
      <c r="G123" s="203"/>
      <c r="H123" s="204"/>
      <c r="I123" s="206"/>
      <c r="J123" s="206"/>
      <c r="K123" s="206"/>
      <c r="L123" s="203"/>
      <c r="M123" s="204"/>
      <c r="N123" s="206"/>
      <c r="O123" s="206"/>
      <c r="P123" s="206"/>
      <c r="Q123" s="204"/>
      <c r="R123" s="207"/>
      <c r="S123" s="49"/>
    </row>
    <row r="124" ht="21.0" customHeight="1">
      <c r="A124" s="49"/>
      <c r="B124" s="208"/>
      <c r="C124" s="208"/>
      <c r="D124" s="202"/>
      <c r="E124" s="202"/>
      <c r="F124" s="202"/>
      <c r="G124" s="203"/>
      <c r="H124" s="204"/>
      <c r="I124" s="206"/>
      <c r="J124" s="206"/>
      <c r="K124" s="206"/>
      <c r="L124" s="203"/>
      <c r="M124" s="204"/>
      <c r="N124" s="206"/>
      <c r="O124" s="206"/>
      <c r="P124" s="206"/>
      <c r="Q124" s="204"/>
      <c r="R124" s="207"/>
      <c r="S124" s="49"/>
    </row>
    <row r="125" ht="21.0" customHeight="1">
      <c r="A125" s="49"/>
      <c r="B125" s="208"/>
      <c r="C125" s="208"/>
      <c r="D125" s="202"/>
      <c r="E125" s="202"/>
      <c r="F125" s="202"/>
      <c r="G125" s="203"/>
      <c r="H125" s="204"/>
      <c r="I125" s="206"/>
      <c r="J125" s="206"/>
      <c r="K125" s="206"/>
      <c r="L125" s="203"/>
      <c r="M125" s="204"/>
      <c r="N125" s="206"/>
      <c r="O125" s="206"/>
      <c r="P125" s="206"/>
      <c r="Q125" s="204"/>
      <c r="R125" s="207"/>
      <c r="S125" s="49"/>
    </row>
    <row r="126" ht="21.0" customHeight="1">
      <c r="A126" s="49"/>
      <c r="B126" s="208"/>
      <c r="C126" s="208"/>
      <c r="D126" s="202"/>
      <c r="E126" s="202"/>
      <c r="F126" s="202"/>
      <c r="G126" s="203"/>
      <c r="H126" s="204"/>
      <c r="I126" s="206"/>
      <c r="J126" s="206"/>
      <c r="K126" s="206"/>
      <c r="L126" s="203"/>
      <c r="M126" s="204"/>
      <c r="N126" s="206"/>
      <c r="O126" s="206"/>
      <c r="P126" s="206"/>
      <c r="Q126" s="204"/>
      <c r="R126" s="207"/>
      <c r="S126" s="49"/>
    </row>
    <row r="127" ht="21.0" customHeight="1">
      <c r="A127" s="49"/>
      <c r="B127" s="208"/>
      <c r="C127" s="208"/>
      <c r="D127" s="202"/>
      <c r="E127" s="202"/>
      <c r="F127" s="202"/>
      <c r="G127" s="203"/>
      <c r="H127" s="204"/>
      <c r="I127" s="206"/>
      <c r="J127" s="206"/>
      <c r="K127" s="206"/>
      <c r="L127" s="203"/>
      <c r="M127" s="204"/>
      <c r="N127" s="206"/>
      <c r="O127" s="206"/>
      <c r="P127" s="206"/>
      <c r="Q127" s="204"/>
      <c r="R127" s="207"/>
      <c r="S127" s="49"/>
    </row>
    <row r="128" ht="21.0" customHeight="1">
      <c r="A128" s="49"/>
      <c r="B128" s="208"/>
      <c r="C128" s="208"/>
      <c r="D128" s="202"/>
      <c r="E128" s="202"/>
      <c r="F128" s="202"/>
      <c r="G128" s="203"/>
      <c r="H128" s="204"/>
      <c r="I128" s="206"/>
      <c r="J128" s="206"/>
      <c r="K128" s="206"/>
      <c r="L128" s="203"/>
      <c r="M128" s="204"/>
      <c r="N128" s="206"/>
      <c r="O128" s="206"/>
      <c r="P128" s="206"/>
      <c r="Q128" s="204"/>
      <c r="R128" s="207"/>
      <c r="S128" s="49"/>
    </row>
    <row r="129" ht="21.0" customHeight="1">
      <c r="A129" s="49"/>
      <c r="B129" s="208"/>
      <c r="C129" s="208"/>
      <c r="D129" s="202"/>
      <c r="E129" s="202"/>
      <c r="F129" s="202"/>
      <c r="G129" s="203"/>
      <c r="H129" s="204"/>
      <c r="I129" s="206"/>
      <c r="J129" s="206"/>
      <c r="K129" s="206"/>
      <c r="L129" s="203"/>
      <c r="M129" s="204"/>
      <c r="N129" s="206"/>
      <c r="O129" s="206"/>
      <c r="P129" s="206"/>
      <c r="Q129" s="204"/>
      <c r="R129" s="207"/>
      <c r="S129" s="49"/>
    </row>
    <row r="130" ht="21.0" customHeight="1">
      <c r="A130" s="49"/>
      <c r="B130" s="208"/>
      <c r="C130" s="208"/>
      <c r="D130" s="202"/>
      <c r="E130" s="202"/>
      <c r="F130" s="202"/>
      <c r="G130" s="203"/>
      <c r="H130" s="204"/>
      <c r="I130" s="206"/>
      <c r="J130" s="206"/>
      <c r="K130" s="206"/>
      <c r="L130" s="203"/>
      <c r="M130" s="204"/>
      <c r="N130" s="206"/>
      <c r="O130" s="206"/>
      <c r="P130" s="206"/>
      <c r="Q130" s="204"/>
      <c r="R130" s="207"/>
      <c r="S130" s="49"/>
    </row>
    <row r="131" ht="21.0" customHeight="1">
      <c r="A131" s="49"/>
      <c r="B131" s="208"/>
      <c r="C131" s="208"/>
      <c r="D131" s="202"/>
      <c r="E131" s="202"/>
      <c r="F131" s="202"/>
      <c r="G131" s="203"/>
      <c r="H131" s="204"/>
      <c r="I131" s="206"/>
      <c r="J131" s="206"/>
      <c r="K131" s="206"/>
      <c r="L131" s="203"/>
      <c r="M131" s="204"/>
      <c r="N131" s="206"/>
      <c r="O131" s="206"/>
      <c r="P131" s="206"/>
      <c r="Q131" s="204"/>
      <c r="R131" s="207"/>
      <c r="S131" s="49"/>
    </row>
    <row r="132" ht="21.0" customHeight="1">
      <c r="A132" s="49"/>
      <c r="B132" s="208"/>
      <c r="C132" s="208"/>
      <c r="D132" s="202"/>
      <c r="E132" s="202"/>
      <c r="F132" s="202"/>
      <c r="G132" s="203"/>
      <c r="H132" s="204"/>
      <c r="I132" s="206"/>
      <c r="J132" s="206"/>
      <c r="K132" s="206"/>
      <c r="L132" s="203"/>
      <c r="M132" s="204"/>
      <c r="N132" s="206"/>
      <c r="O132" s="206"/>
      <c r="P132" s="206"/>
      <c r="Q132" s="204"/>
      <c r="R132" s="207"/>
      <c r="S132" s="49"/>
    </row>
    <row r="133" ht="21.0" customHeight="1">
      <c r="A133" s="49"/>
      <c r="B133" s="208"/>
      <c r="C133" s="208"/>
      <c r="D133" s="202"/>
      <c r="E133" s="202"/>
      <c r="F133" s="202"/>
      <c r="G133" s="203"/>
      <c r="H133" s="204"/>
      <c r="I133" s="206"/>
      <c r="J133" s="206"/>
      <c r="K133" s="206"/>
      <c r="L133" s="203"/>
      <c r="M133" s="204"/>
      <c r="N133" s="206"/>
      <c r="O133" s="206"/>
      <c r="P133" s="206"/>
      <c r="Q133" s="204"/>
      <c r="R133" s="207"/>
      <c r="S133" s="49"/>
    </row>
    <row r="134" ht="21.0" customHeight="1">
      <c r="A134" s="49"/>
      <c r="B134" s="208"/>
      <c r="C134" s="208"/>
      <c r="D134" s="202"/>
      <c r="E134" s="202"/>
      <c r="F134" s="202"/>
      <c r="G134" s="203"/>
      <c r="H134" s="204"/>
      <c r="I134" s="206"/>
      <c r="J134" s="206"/>
      <c r="K134" s="206"/>
      <c r="L134" s="203"/>
      <c r="M134" s="204"/>
      <c r="N134" s="206"/>
      <c r="O134" s="206"/>
      <c r="P134" s="206"/>
      <c r="Q134" s="204"/>
      <c r="R134" s="207"/>
      <c r="S134" s="49"/>
    </row>
    <row r="135" ht="21.0" customHeight="1">
      <c r="A135" s="49"/>
      <c r="B135" s="208"/>
      <c r="C135" s="208"/>
      <c r="D135" s="202"/>
      <c r="E135" s="202"/>
      <c r="F135" s="202"/>
      <c r="G135" s="203"/>
      <c r="H135" s="204"/>
      <c r="I135" s="206"/>
      <c r="J135" s="206"/>
      <c r="K135" s="206"/>
      <c r="L135" s="203"/>
      <c r="M135" s="204"/>
      <c r="N135" s="206"/>
      <c r="O135" s="206"/>
      <c r="P135" s="206"/>
      <c r="Q135" s="204"/>
      <c r="R135" s="207"/>
      <c r="S135" s="49"/>
    </row>
    <row r="136" ht="21.0" customHeight="1">
      <c r="A136" s="49"/>
      <c r="B136" s="208"/>
      <c r="C136" s="208"/>
      <c r="D136" s="202"/>
      <c r="E136" s="202"/>
      <c r="F136" s="202"/>
      <c r="G136" s="203"/>
      <c r="H136" s="204"/>
      <c r="I136" s="206"/>
      <c r="J136" s="206"/>
      <c r="K136" s="206"/>
      <c r="L136" s="203"/>
      <c r="M136" s="204"/>
      <c r="N136" s="206"/>
      <c r="O136" s="206"/>
      <c r="P136" s="206"/>
      <c r="Q136" s="204"/>
      <c r="R136" s="207"/>
      <c r="S136" s="49"/>
    </row>
    <row r="137" ht="21.0" customHeight="1">
      <c r="A137" s="49"/>
      <c r="B137" s="208"/>
      <c r="C137" s="208"/>
      <c r="D137" s="202"/>
      <c r="E137" s="202"/>
      <c r="F137" s="202"/>
      <c r="G137" s="203"/>
      <c r="H137" s="204"/>
      <c r="I137" s="206"/>
      <c r="J137" s="206"/>
      <c r="K137" s="206"/>
      <c r="L137" s="203"/>
      <c r="M137" s="204"/>
      <c r="N137" s="206"/>
      <c r="O137" s="206"/>
      <c r="P137" s="206"/>
      <c r="Q137" s="204"/>
      <c r="R137" s="207"/>
      <c r="S137" s="49"/>
    </row>
    <row r="138" ht="21.0" customHeight="1">
      <c r="A138" s="49"/>
      <c r="B138" s="208"/>
      <c r="C138" s="208"/>
      <c r="D138" s="202"/>
      <c r="E138" s="202"/>
      <c r="F138" s="202"/>
      <c r="G138" s="203"/>
      <c r="H138" s="204"/>
      <c r="I138" s="206"/>
      <c r="J138" s="206"/>
      <c r="K138" s="206"/>
      <c r="L138" s="203"/>
      <c r="M138" s="204"/>
      <c r="N138" s="206"/>
      <c r="O138" s="206"/>
      <c r="P138" s="206"/>
      <c r="Q138" s="204"/>
      <c r="R138" s="207"/>
      <c r="S138" s="49"/>
    </row>
    <row r="139" ht="21.0" customHeight="1">
      <c r="A139" s="49"/>
      <c r="B139" s="208"/>
      <c r="C139" s="208"/>
      <c r="D139" s="202"/>
      <c r="E139" s="202"/>
      <c r="F139" s="202"/>
      <c r="G139" s="203"/>
      <c r="H139" s="204"/>
      <c r="I139" s="206"/>
      <c r="J139" s="206"/>
      <c r="K139" s="206"/>
      <c r="L139" s="203"/>
      <c r="M139" s="204"/>
      <c r="N139" s="206"/>
      <c r="O139" s="206"/>
      <c r="P139" s="206"/>
      <c r="Q139" s="204"/>
      <c r="R139" s="207"/>
      <c r="S139" s="49"/>
    </row>
    <row r="140" ht="21.0" customHeight="1">
      <c r="A140" s="49"/>
      <c r="B140" s="208"/>
      <c r="C140" s="208"/>
      <c r="D140" s="202"/>
      <c r="E140" s="202"/>
      <c r="F140" s="202"/>
      <c r="G140" s="203"/>
      <c r="H140" s="204"/>
      <c r="I140" s="206"/>
      <c r="J140" s="206"/>
      <c r="K140" s="206"/>
      <c r="L140" s="203"/>
      <c r="M140" s="204"/>
      <c r="N140" s="206"/>
      <c r="O140" s="206"/>
      <c r="P140" s="206"/>
      <c r="Q140" s="204"/>
      <c r="R140" s="207"/>
      <c r="S140" s="49"/>
    </row>
    <row r="141" ht="21.0" customHeight="1">
      <c r="A141" s="49"/>
      <c r="B141" s="208"/>
      <c r="C141" s="208"/>
      <c r="D141" s="202"/>
      <c r="E141" s="202"/>
      <c r="F141" s="202"/>
      <c r="G141" s="203"/>
      <c r="H141" s="204"/>
      <c r="I141" s="206"/>
      <c r="J141" s="206"/>
      <c r="K141" s="206"/>
      <c r="L141" s="203"/>
      <c r="M141" s="204"/>
      <c r="N141" s="206"/>
      <c r="O141" s="206"/>
      <c r="P141" s="206"/>
      <c r="Q141" s="204"/>
      <c r="R141" s="207"/>
      <c r="S141" s="49"/>
    </row>
    <row r="142" ht="21.0" customHeight="1">
      <c r="A142" s="49"/>
      <c r="B142" s="208"/>
      <c r="C142" s="208"/>
      <c r="D142" s="202"/>
      <c r="E142" s="202"/>
      <c r="F142" s="202"/>
      <c r="G142" s="203"/>
      <c r="H142" s="204"/>
      <c r="I142" s="206"/>
      <c r="J142" s="206"/>
      <c r="K142" s="206"/>
      <c r="L142" s="203"/>
      <c r="M142" s="204"/>
      <c r="N142" s="206"/>
      <c r="O142" s="206"/>
      <c r="P142" s="206"/>
      <c r="Q142" s="204"/>
      <c r="R142" s="207"/>
      <c r="S142" s="49"/>
    </row>
    <row r="143" ht="21.0" customHeight="1">
      <c r="A143" s="49"/>
      <c r="B143" s="208"/>
      <c r="C143" s="208"/>
      <c r="D143" s="202"/>
      <c r="E143" s="202"/>
      <c r="F143" s="202"/>
      <c r="G143" s="203"/>
      <c r="H143" s="204"/>
      <c r="I143" s="206"/>
      <c r="J143" s="206"/>
      <c r="K143" s="206"/>
      <c r="L143" s="203"/>
      <c r="M143" s="204"/>
      <c r="N143" s="206"/>
      <c r="O143" s="206"/>
      <c r="P143" s="206"/>
      <c r="Q143" s="204"/>
      <c r="R143" s="207"/>
      <c r="S143" s="49"/>
    </row>
    <row r="144" ht="21.0" customHeight="1">
      <c r="A144" s="49"/>
      <c r="B144" s="208"/>
      <c r="C144" s="208"/>
      <c r="D144" s="202"/>
      <c r="E144" s="202"/>
      <c r="F144" s="202"/>
      <c r="G144" s="203"/>
      <c r="H144" s="204"/>
      <c r="I144" s="206"/>
      <c r="J144" s="206"/>
      <c r="K144" s="206"/>
      <c r="L144" s="203"/>
      <c r="M144" s="204"/>
      <c r="N144" s="206"/>
      <c r="O144" s="206"/>
      <c r="P144" s="206"/>
      <c r="Q144" s="204"/>
      <c r="R144" s="207"/>
      <c r="S144" s="49"/>
    </row>
    <row r="145" ht="21.0" customHeight="1">
      <c r="A145" s="49"/>
      <c r="B145" s="208"/>
      <c r="C145" s="208"/>
      <c r="D145" s="202"/>
      <c r="E145" s="202"/>
      <c r="F145" s="202"/>
      <c r="G145" s="203"/>
      <c r="H145" s="204"/>
      <c r="I145" s="206"/>
      <c r="J145" s="206"/>
      <c r="K145" s="206"/>
      <c r="L145" s="203"/>
      <c r="M145" s="204"/>
      <c r="N145" s="206"/>
      <c r="O145" s="206"/>
      <c r="P145" s="206"/>
      <c r="Q145" s="204"/>
      <c r="R145" s="207"/>
      <c r="S145" s="49"/>
    </row>
    <row r="146" ht="21.0" customHeight="1">
      <c r="A146" s="49"/>
      <c r="B146" s="208"/>
      <c r="C146" s="208"/>
      <c r="D146" s="202"/>
      <c r="E146" s="202"/>
      <c r="F146" s="202"/>
      <c r="G146" s="203"/>
      <c r="H146" s="204"/>
      <c r="I146" s="206"/>
      <c r="J146" s="206"/>
      <c r="K146" s="206"/>
      <c r="L146" s="203"/>
      <c r="M146" s="204"/>
      <c r="N146" s="206"/>
      <c r="O146" s="206"/>
      <c r="P146" s="206"/>
      <c r="Q146" s="204"/>
      <c r="R146" s="207"/>
      <c r="S146" s="49"/>
    </row>
    <row r="147" ht="21.0" customHeight="1">
      <c r="A147" s="49"/>
      <c r="B147" s="208"/>
      <c r="C147" s="208"/>
      <c r="D147" s="202"/>
      <c r="E147" s="202"/>
      <c r="F147" s="202"/>
      <c r="G147" s="203"/>
      <c r="H147" s="204"/>
      <c r="I147" s="206"/>
      <c r="J147" s="206"/>
      <c r="K147" s="206"/>
      <c r="L147" s="203"/>
      <c r="M147" s="204"/>
      <c r="N147" s="206"/>
      <c r="O147" s="206"/>
      <c r="P147" s="206"/>
      <c r="Q147" s="204"/>
      <c r="R147" s="207"/>
      <c r="S147" s="49"/>
    </row>
    <row r="148" ht="21.0" customHeight="1">
      <c r="A148" s="49"/>
      <c r="B148" s="208"/>
      <c r="C148" s="208"/>
      <c r="D148" s="202"/>
      <c r="E148" s="202"/>
      <c r="F148" s="202"/>
      <c r="G148" s="203"/>
      <c r="H148" s="204"/>
      <c r="I148" s="206"/>
      <c r="J148" s="206"/>
      <c r="K148" s="206"/>
      <c r="L148" s="203"/>
      <c r="M148" s="204"/>
      <c r="N148" s="206"/>
      <c r="O148" s="206"/>
      <c r="P148" s="206"/>
      <c r="Q148" s="204"/>
      <c r="R148" s="207"/>
      <c r="S148" s="49"/>
    </row>
    <row r="149" ht="21.0" customHeight="1">
      <c r="A149" s="49"/>
      <c r="B149" s="208"/>
      <c r="C149" s="208"/>
      <c r="D149" s="202"/>
      <c r="E149" s="202"/>
      <c r="F149" s="202"/>
      <c r="G149" s="203"/>
      <c r="H149" s="204"/>
      <c r="I149" s="206"/>
      <c r="J149" s="206"/>
      <c r="K149" s="206"/>
      <c r="L149" s="203"/>
      <c r="M149" s="204"/>
      <c r="N149" s="206"/>
      <c r="O149" s="206"/>
      <c r="P149" s="206"/>
      <c r="Q149" s="204"/>
      <c r="R149" s="207"/>
      <c r="S149" s="49"/>
    </row>
    <row r="150" ht="21.0" hidden="1" customHeight="1">
      <c r="A150" s="49"/>
      <c r="B150" s="209"/>
      <c r="C150" s="209"/>
      <c r="D150" s="210"/>
      <c r="E150" s="210"/>
      <c r="F150" s="210"/>
      <c r="G150" s="211"/>
      <c r="H150" s="212"/>
      <c r="I150" s="213"/>
      <c r="J150" s="213"/>
      <c r="K150" s="213"/>
      <c r="L150" s="211"/>
      <c r="M150" s="212"/>
      <c r="N150" s="213"/>
      <c r="O150" s="213"/>
      <c r="P150" s="213"/>
      <c r="Q150" s="212"/>
      <c r="R150" s="214"/>
      <c r="S150" s="49"/>
    </row>
  </sheetData>
  <autoFilter ref="$B$5:$R$150"/>
  <mergeCells count="7">
    <mergeCell ref="B2:D2"/>
    <mergeCell ref="L2:R2"/>
    <mergeCell ref="B4:E4"/>
    <mergeCell ref="G4:H4"/>
    <mergeCell ref="I4:K4"/>
    <mergeCell ref="L4:M4"/>
    <mergeCell ref="N4:P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27B0"/>
    <outlinePr summaryBelow="0" summaryRight="0"/>
  </sheetPr>
  <sheetViews>
    <sheetView showGridLines="0" workbookViewId="0"/>
  </sheetViews>
  <sheetFormatPr customHeight="1" defaultColWidth="12.63" defaultRowHeight="15.75"/>
  <cols>
    <col customWidth="1" min="1" max="1" width="5.13"/>
    <col customWidth="1" min="2" max="2" width="17.38"/>
    <col customWidth="1" min="3" max="3" width="11.38"/>
    <col customWidth="1" min="4" max="4" width="24.13"/>
    <col customWidth="1" min="5" max="5" width="11.88"/>
    <col customWidth="1" min="6" max="6" width="11.0"/>
    <col customWidth="1" min="7" max="7" width="17.25"/>
    <col customWidth="1" min="8" max="8" width="6.38"/>
    <col customWidth="1" min="9" max="9" width="9.5"/>
    <col customWidth="1" min="10" max="10" width="12.25"/>
    <col customWidth="1" min="11" max="11" width="10.13"/>
    <col customWidth="1" min="12" max="12" width="6.38"/>
    <col customWidth="1" min="13" max="13" width="9.5"/>
    <col customWidth="1" min="14" max="14" width="6.38"/>
    <col customWidth="1" min="15" max="15" width="9.5"/>
    <col customWidth="1" min="16" max="16" width="11.25"/>
    <col customWidth="1" min="17" max="17" width="5.13"/>
  </cols>
  <sheetData>
    <row r="1" ht="6.0" customHeight="1">
      <c r="A1" s="215"/>
      <c r="B1" s="215"/>
      <c r="C1" s="215"/>
      <c r="D1" s="215"/>
      <c r="E1" s="215"/>
      <c r="F1" s="215"/>
      <c r="G1" s="215"/>
      <c r="H1" s="215"/>
      <c r="I1" s="215"/>
      <c r="J1" s="215"/>
      <c r="K1" s="215"/>
      <c r="L1" s="215"/>
      <c r="M1" s="215"/>
      <c r="N1" s="215"/>
      <c r="O1" s="215"/>
      <c r="P1" s="215"/>
      <c r="Q1" s="215"/>
    </row>
    <row r="2" ht="66.0" customHeight="1">
      <c r="A2" s="45"/>
      <c r="B2" s="216" t="s">
        <v>23</v>
      </c>
      <c r="D2" s="217"/>
      <c r="E2" s="217"/>
      <c r="F2" s="217"/>
      <c r="G2" s="217"/>
      <c r="H2" s="217"/>
      <c r="I2" s="218"/>
      <c r="J2" s="218"/>
      <c r="K2" s="87" t="s">
        <v>141</v>
      </c>
      <c r="Q2" s="45"/>
    </row>
    <row r="3" ht="16.5" customHeight="1">
      <c r="A3" s="219"/>
      <c r="B3" s="220" t="s">
        <v>142</v>
      </c>
      <c r="C3" s="221">
        <v>50.0</v>
      </c>
      <c r="D3" s="220" t="s">
        <v>143</v>
      </c>
      <c r="E3" s="221">
        <v>50.0</v>
      </c>
      <c r="F3" s="222" t="s">
        <v>144</v>
      </c>
      <c r="H3" s="221">
        <v>50.0</v>
      </c>
      <c r="I3" s="218"/>
      <c r="J3" s="218"/>
      <c r="Q3" s="219"/>
    </row>
    <row r="4" ht="16.5" customHeight="1">
      <c r="A4" s="219"/>
      <c r="B4" s="220" t="s">
        <v>145</v>
      </c>
      <c r="C4" s="221">
        <v>50.0</v>
      </c>
      <c r="D4" s="220" t="s">
        <v>146</v>
      </c>
      <c r="E4" s="221">
        <v>100.0</v>
      </c>
      <c r="F4" s="45"/>
      <c r="G4" s="45"/>
      <c r="H4" s="223"/>
      <c r="I4" s="218"/>
      <c r="J4" s="218"/>
      <c r="K4" s="218"/>
      <c r="L4" s="218"/>
      <c r="M4" s="218"/>
      <c r="N4" s="218"/>
      <c r="O4" s="218"/>
      <c r="P4" s="218"/>
      <c r="Q4" s="219"/>
    </row>
    <row r="5" ht="12.0" customHeight="1">
      <c r="A5" s="45"/>
      <c r="B5" s="224"/>
      <c r="C5" s="224"/>
      <c r="D5" s="224"/>
      <c r="E5" s="224"/>
      <c r="F5" s="224"/>
      <c r="G5" s="224"/>
      <c r="H5" s="224"/>
      <c r="I5" s="224"/>
      <c r="J5" s="224"/>
      <c r="K5" s="224"/>
      <c r="L5" s="224"/>
      <c r="M5" s="224"/>
      <c r="N5" s="224"/>
      <c r="O5" s="224"/>
      <c r="P5" s="224"/>
      <c r="Q5" s="45"/>
    </row>
    <row r="6" ht="12.0" customHeight="1">
      <c r="A6" s="225"/>
      <c r="B6" s="226"/>
      <c r="C6" s="226"/>
      <c r="D6" s="226"/>
      <c r="E6" s="226"/>
      <c r="F6" s="226"/>
      <c r="G6" s="226"/>
      <c r="H6" s="226"/>
      <c r="I6" s="226"/>
      <c r="J6" s="226"/>
      <c r="K6" s="226"/>
      <c r="L6" s="226"/>
      <c r="M6" s="226"/>
      <c r="N6" s="226"/>
      <c r="O6" s="226"/>
      <c r="P6" s="226"/>
      <c r="Q6" s="225"/>
    </row>
    <row r="7" ht="24.0" customHeight="1">
      <c r="A7" s="227"/>
      <c r="B7" s="228" t="s">
        <v>54</v>
      </c>
      <c r="C7" s="228" t="s">
        <v>147</v>
      </c>
      <c r="D7" s="228" t="s">
        <v>57</v>
      </c>
      <c r="E7" s="228" t="s">
        <v>58</v>
      </c>
      <c r="F7" s="229" t="s">
        <v>125</v>
      </c>
      <c r="H7" s="229" t="s">
        <v>148</v>
      </c>
      <c r="J7" s="229" t="s">
        <v>149</v>
      </c>
      <c r="L7" s="229" t="s">
        <v>150</v>
      </c>
      <c r="N7" s="229" t="s">
        <v>151</v>
      </c>
      <c r="P7" s="230" t="s">
        <v>152</v>
      </c>
      <c r="Q7" s="227"/>
    </row>
    <row r="8" ht="21.0" customHeight="1">
      <c r="A8" s="231"/>
      <c r="B8" s="232" t="s">
        <v>153</v>
      </c>
      <c r="C8" s="233" t="s">
        <v>62</v>
      </c>
      <c r="D8" s="233" t="s">
        <v>63</v>
      </c>
      <c r="E8" s="234" t="s">
        <v>64</v>
      </c>
      <c r="F8" s="235">
        <v>0.0</v>
      </c>
      <c r="G8" s="236" t="str">
        <f>if(isblank(F8), "", concatenate("(",text(Convites!TotalInvitations*F8, "R$0")," total)"))</f>
        <v>(R$0 total)</v>
      </c>
      <c r="H8" s="237">
        <v>0.0</v>
      </c>
      <c r="I8" s="236" t="str">
        <f>if(isblank(H8), "", concatenate("(",text(Convites!TotalRSVPs*H8, "R$0")," total)"))</f>
        <v>(R$0 total)</v>
      </c>
      <c r="J8" s="237">
        <v>0.0</v>
      </c>
      <c r="K8" s="236" t="str">
        <f>if(isblank(J8), "", concatenate("(",text(Convites!TotalThankyous*J8, "R$0")," total)"))</f>
        <v>(R$0 total)</v>
      </c>
      <c r="L8" s="237">
        <v>0.0</v>
      </c>
      <c r="M8" s="236" t="str">
        <f>if(isblank(L8), "", concatenate("(",text(Convites!TotalPrograms*L8, "R$0")," total)"))</f>
        <v>(R$0 total)</v>
      </c>
      <c r="N8" s="237">
        <v>0.0</v>
      </c>
      <c r="O8" s="236" t="str">
        <f>if(isblank(N8), "", concatenate("(",text(Convites!TotalPlacecards*N8, "R$0")," total)"))</f>
        <v>(R$0 total)</v>
      </c>
      <c r="P8" s="238">
        <f>sum((Convites!TotalInvitations*F8), (Convites!TotalRSVPs*H8), (Convites!TotalThankyous*J8), (Convites!TotalPrograms*L8), (Convites!TotalPlacecards*N8))</f>
        <v>0</v>
      </c>
      <c r="Q8" s="239"/>
    </row>
    <row r="9" ht="21.0" customHeight="1">
      <c r="A9" s="49"/>
      <c r="B9" s="240"/>
      <c r="C9" s="241"/>
      <c r="D9" s="241"/>
      <c r="E9" s="241"/>
      <c r="F9" s="242"/>
      <c r="G9" s="243" t="str">
        <f>if(isblank(F9), "", concatenate("(",text(Convites!TotalInvitations*F9, "$0")," total)"))</f>
        <v/>
      </c>
      <c r="H9" s="244"/>
      <c r="I9" s="243" t="str">
        <f>if(isblank(H9), "", concatenate("(",text(Convites!TotalRSVPs*H9, "$0")," total)"))</f>
        <v/>
      </c>
      <c r="J9" s="244"/>
      <c r="K9" s="243" t="str">
        <f>if(isblank(J9), "", concatenate("(",text(Convites!TotalThankyous*J9, "$0")," total)"))</f>
        <v/>
      </c>
      <c r="L9" s="244"/>
      <c r="M9" s="243" t="str">
        <f>if(isblank(L9), "", concatenate("(",text(Convites!TotalPrograms*L9, "$0")," total)"))</f>
        <v/>
      </c>
      <c r="N9" s="244"/>
      <c r="O9" s="243" t="str">
        <f>if(isblank(N9), "", concatenate("(",text(Convites!TotalPlacecards*N9, "$0")," total)"))</f>
        <v/>
      </c>
      <c r="P9" s="245">
        <f>sum((Convites!TotalInvitations*F9), (Convites!TotalRSVPs*H9), (Convites!TotalThankyous*J9), (Convites!TotalPrograms*L9), (Convites!TotalPlacecards*N9))</f>
        <v>0</v>
      </c>
      <c r="Q9" s="239"/>
    </row>
    <row r="10" ht="21.0" customHeight="1">
      <c r="A10" s="49"/>
      <c r="B10" s="246"/>
      <c r="C10" s="233"/>
      <c r="D10" s="233"/>
      <c r="E10" s="233"/>
      <c r="F10" s="235"/>
      <c r="G10" s="236" t="str">
        <f>if(isblank(F10), "", concatenate("(",text(Convites!TotalInvitations*F10, "$0")," total)"))</f>
        <v/>
      </c>
      <c r="H10" s="237"/>
      <c r="I10" s="236" t="str">
        <f>if(isblank(H10), "", concatenate("(",text(Convites!TotalRSVPs*H10, "$0")," total)"))</f>
        <v/>
      </c>
      <c r="J10" s="237"/>
      <c r="K10" s="236" t="str">
        <f>if(isblank(J10), "", concatenate("(",text(Convites!TotalThankyous*J10, "$0")," total)"))</f>
        <v/>
      </c>
      <c r="L10" s="237"/>
      <c r="M10" s="236" t="str">
        <f>if(isblank(L10), "", concatenate("(",text(Convites!TotalPrograms*L10, "$0")," total)"))</f>
        <v/>
      </c>
      <c r="N10" s="237"/>
      <c r="O10" s="236" t="str">
        <f>if(isblank(N10), "", concatenate("(",text(Convites!TotalPlacecards*N10, "$0")," total)"))</f>
        <v/>
      </c>
      <c r="P10" s="238">
        <f>sum((Convites!TotalInvitations*F10), (Convites!TotalRSVPs*H10), (Convites!TotalThankyous*J10), (Convites!TotalPrograms*L10), (Convites!TotalPlacecards*N10))</f>
        <v>0</v>
      </c>
      <c r="Q10" s="239"/>
    </row>
    <row r="11" ht="21.0" customHeight="1">
      <c r="A11" s="49"/>
      <c r="B11" s="240"/>
      <c r="C11" s="247"/>
      <c r="D11" s="248"/>
      <c r="E11" s="248"/>
      <c r="F11" s="249"/>
      <c r="G11" s="243" t="str">
        <f>if(isblank(F11), "", concatenate("(",text(Convites!TotalInvitations*F11, "$0")," total)"))</f>
        <v/>
      </c>
      <c r="H11" s="250"/>
      <c r="I11" s="243" t="str">
        <f>if(isblank(H11), "", concatenate("(",text(Convites!TotalRSVPs*H11, "$0")," total)"))</f>
        <v/>
      </c>
      <c r="J11" s="250"/>
      <c r="K11" s="243" t="str">
        <f>if(isblank(J11), "", concatenate("(",text(Convites!TotalThankyous*J11, "$0")," total)"))</f>
        <v/>
      </c>
      <c r="L11" s="250"/>
      <c r="M11" s="243" t="str">
        <f>if(isblank(L11), "", concatenate("(",text(Convites!TotalPrograms*L11, "$0")," total)"))</f>
        <v/>
      </c>
      <c r="N11" s="250"/>
      <c r="O11" s="243" t="str">
        <f>if(isblank(N11), "", concatenate("(",text(Convites!TotalPlacecards*N11, "$0")," total)"))</f>
        <v/>
      </c>
      <c r="P11" s="245">
        <f>sum((Convites!TotalInvitations*F11), (Convites!TotalRSVPs*H11), (Convites!TotalThankyous*J11), (Convites!TotalPrograms*L11), (Convites!TotalPlacecards*N11))</f>
        <v>0</v>
      </c>
      <c r="Q11" s="239"/>
    </row>
    <row r="12" ht="21.0" customHeight="1">
      <c r="A12" s="49"/>
      <c r="B12" s="246"/>
      <c r="C12" s="251"/>
      <c r="D12" s="252"/>
      <c r="E12" s="252"/>
      <c r="F12" s="253"/>
      <c r="G12" s="236" t="str">
        <f>if(isblank(F12), "", concatenate("(",text(Convites!TotalInvitations*F12, "$0")," total)"))</f>
        <v/>
      </c>
      <c r="H12" s="254"/>
      <c r="I12" s="236" t="str">
        <f>if(isblank(H12), "", concatenate("(",text(Convites!TotalRSVPs*H12, "$0")," total)"))</f>
        <v/>
      </c>
      <c r="J12" s="254"/>
      <c r="K12" s="236" t="str">
        <f>if(isblank(J12), "", concatenate("(",text(Convites!TotalThankyous*J12, "$0")," total)"))</f>
        <v/>
      </c>
      <c r="L12" s="254"/>
      <c r="M12" s="236" t="str">
        <f>if(isblank(L12), "", concatenate("(",text(Convites!TotalPrograms*L12, "$0")," total)"))</f>
        <v/>
      </c>
      <c r="N12" s="254"/>
      <c r="O12" s="236" t="str">
        <f>if(isblank(N12), "", concatenate("(",text(Convites!TotalPlacecards*N12, "$0")," total)"))</f>
        <v/>
      </c>
      <c r="P12" s="238">
        <f>sum((Convites!TotalInvitations*F12), (Convites!TotalRSVPs*H12), (Convites!TotalThankyous*J12), (Convites!TotalPrograms*L12), (Convites!TotalPlacecards*N12))</f>
        <v>0</v>
      </c>
      <c r="Q12" s="239"/>
    </row>
    <row r="13" ht="21.0" customHeight="1">
      <c r="A13" s="49"/>
      <c r="B13" s="240"/>
      <c r="C13" s="247"/>
      <c r="D13" s="248"/>
      <c r="E13" s="248"/>
      <c r="F13" s="249"/>
      <c r="G13" s="243" t="str">
        <f>if(isblank(F13), "", concatenate("(",text(Convites!TotalInvitations*F13, "$0")," total)"))</f>
        <v/>
      </c>
      <c r="H13" s="250"/>
      <c r="I13" s="243" t="str">
        <f>if(isblank(H13), "", concatenate("(",text(Convites!TotalRSVPs*H13, "$0")," total)"))</f>
        <v/>
      </c>
      <c r="J13" s="250"/>
      <c r="K13" s="243" t="str">
        <f>if(isblank(J13), "", concatenate("(",text(Convites!TotalThankyous*J13, "$0")," total)"))</f>
        <v/>
      </c>
      <c r="L13" s="250"/>
      <c r="M13" s="243" t="str">
        <f>if(isblank(L13), "", concatenate("(",text(Convites!TotalPrograms*L13, "$0")," total)"))</f>
        <v/>
      </c>
      <c r="N13" s="250"/>
      <c r="O13" s="243" t="str">
        <f>if(isblank(N13), "", concatenate("(",text(Convites!TotalPlacecards*N13, "$0")," total)"))</f>
        <v/>
      </c>
      <c r="P13" s="245">
        <f>sum((Convites!TotalInvitations*F13), (Convites!TotalRSVPs*H13), (Convites!TotalThankyous*J13), (Convites!TotalPrograms*L13), (Convites!TotalPlacecards*N13))</f>
        <v>0</v>
      </c>
      <c r="Q13" s="239"/>
    </row>
    <row r="14" ht="21.0" customHeight="1">
      <c r="A14" s="49"/>
      <c r="B14" s="246"/>
      <c r="C14" s="251"/>
      <c r="D14" s="252"/>
      <c r="E14" s="252"/>
      <c r="F14" s="253"/>
      <c r="G14" s="236" t="str">
        <f>if(isblank(F14), "", concatenate("(",text(Convites!TotalInvitations*F14, "$0")," total)"))</f>
        <v/>
      </c>
      <c r="H14" s="254"/>
      <c r="I14" s="236" t="str">
        <f>if(isblank(H14), "", concatenate("(",text(Convites!TotalRSVPs*H14, "$0")," total)"))</f>
        <v/>
      </c>
      <c r="J14" s="254"/>
      <c r="K14" s="236" t="str">
        <f>if(isblank(J14), "", concatenate("(",text(Convites!TotalThankyous*J14, "$0")," total)"))</f>
        <v/>
      </c>
      <c r="L14" s="254"/>
      <c r="M14" s="236" t="str">
        <f>if(isblank(L14), "", concatenate("(",text(Convites!TotalPrograms*L14, "$0")," total)"))</f>
        <v/>
      </c>
      <c r="N14" s="254"/>
      <c r="O14" s="236" t="str">
        <f>if(isblank(N14), "", concatenate("(",text(Convites!TotalPlacecards*N14, "$0")," total)"))</f>
        <v/>
      </c>
      <c r="P14" s="238">
        <f>sum((Convites!TotalInvitations*F14), (Convites!TotalRSVPs*H14), (Convites!TotalThankyous*J14), (Convites!TotalPrograms*L14), (Convites!TotalPlacecards*N14))</f>
        <v>0</v>
      </c>
      <c r="Q14" s="239"/>
    </row>
    <row r="15" ht="21.0" customHeight="1">
      <c r="A15" s="49"/>
      <c r="B15" s="240"/>
      <c r="C15" s="247"/>
      <c r="D15" s="248"/>
      <c r="E15" s="248"/>
      <c r="F15" s="249"/>
      <c r="G15" s="243" t="str">
        <f>if(isblank(F15), "", concatenate("(",text(Convites!TotalInvitations*F15, "$0")," total)"))</f>
        <v/>
      </c>
      <c r="H15" s="250"/>
      <c r="I15" s="243" t="str">
        <f>if(isblank(H15), "", concatenate("(",text(Convites!TotalRSVPs*H15, "$0")," total)"))</f>
        <v/>
      </c>
      <c r="J15" s="250"/>
      <c r="K15" s="243" t="str">
        <f>if(isblank(J15), "", concatenate("(",text(Convites!TotalThankyous*J15, "$0")," total)"))</f>
        <v/>
      </c>
      <c r="L15" s="250"/>
      <c r="M15" s="243" t="str">
        <f>if(isblank(L15), "", concatenate("(",text(Convites!TotalPrograms*L15, "$0")," total)"))</f>
        <v/>
      </c>
      <c r="N15" s="250"/>
      <c r="O15" s="243" t="str">
        <f>if(isblank(N15), "", concatenate("(",text(Convites!TotalPlacecards*N15, "$0")," total)"))</f>
        <v/>
      </c>
      <c r="P15" s="245">
        <f>sum((Convites!TotalInvitations*F15), (Convites!TotalRSVPs*H15), (Convites!TotalThankyous*J15), (Convites!TotalPrograms*L15), (Convites!TotalPlacecards*N15))</f>
        <v>0</v>
      </c>
      <c r="Q15" s="239"/>
    </row>
    <row r="16" ht="21.0" customHeight="1">
      <c r="A16" s="49"/>
      <c r="B16" s="255"/>
      <c r="C16" s="256"/>
      <c r="D16" s="252"/>
      <c r="E16" s="252"/>
      <c r="F16" s="253"/>
      <c r="G16" s="236" t="str">
        <f>if(isblank(F16), "", concatenate("(",text(Convites!TotalInvitations*F16, "$0")," total)"))</f>
        <v/>
      </c>
      <c r="H16" s="254"/>
      <c r="I16" s="236" t="str">
        <f>if(isblank(H16), "", concatenate("(",text(Convites!TotalRSVPs*H16, "$0")," total)"))</f>
        <v/>
      </c>
      <c r="J16" s="254"/>
      <c r="K16" s="236" t="str">
        <f>if(isblank(J16), "", concatenate("(",text(Convites!TotalThankyous*J16, "$0")," total)"))</f>
        <v/>
      </c>
      <c r="L16" s="254"/>
      <c r="M16" s="236" t="str">
        <f>if(isblank(L16), "", concatenate("(",text(Convites!TotalPrograms*L16, "$0")," total)"))</f>
        <v/>
      </c>
      <c r="N16" s="254"/>
      <c r="O16" s="236" t="str">
        <f>if(isblank(N16), "", concatenate("(",text(Convites!TotalPlacecards*N16, "$0")," total)"))</f>
        <v/>
      </c>
      <c r="P16" s="238">
        <f>sum((Convites!TotalInvitations*F16), (Convites!TotalRSVPs*H16), (Convites!TotalThankyous*J16), (Convites!TotalPrograms*L16), (Convites!TotalPlacecards*N16))</f>
        <v>0</v>
      </c>
      <c r="Q16" s="239"/>
    </row>
    <row r="17" ht="21.0" customHeight="1">
      <c r="A17" s="49"/>
      <c r="B17" s="257"/>
      <c r="C17" s="258"/>
      <c r="D17" s="248"/>
      <c r="E17" s="248"/>
      <c r="F17" s="249"/>
      <c r="G17" s="243" t="str">
        <f>if(isblank(F17), "", concatenate("(",text(Convites!TotalInvitations*F17, "$0")," total)"))</f>
        <v/>
      </c>
      <c r="H17" s="250"/>
      <c r="I17" s="243" t="str">
        <f>if(isblank(H17), "", concatenate("(",text(Convites!TotalRSVPs*H17, "$0")," total)"))</f>
        <v/>
      </c>
      <c r="J17" s="250"/>
      <c r="K17" s="243" t="str">
        <f>if(isblank(J17), "", concatenate("(",text(Convites!TotalThankyous*J17, "$0")," total)"))</f>
        <v/>
      </c>
      <c r="L17" s="250"/>
      <c r="M17" s="243" t="str">
        <f>if(isblank(L17), "", concatenate("(",text(Convites!TotalPrograms*L17, "$0")," total)"))</f>
        <v/>
      </c>
      <c r="N17" s="250"/>
      <c r="O17" s="243" t="str">
        <f>if(isblank(N17), "", concatenate("(",text(Convites!TotalPlacecards*N17, "$0")," total)"))</f>
        <v/>
      </c>
      <c r="P17" s="245">
        <f>sum((Convites!TotalInvitations*F17), (Convites!TotalRSVPs*H17), (Convites!TotalThankyous*J17), (Convites!TotalPrograms*L17), (Convites!TotalPlacecards*N17))</f>
        <v>0</v>
      </c>
      <c r="Q17" s="239"/>
    </row>
    <row r="18" ht="21.0" customHeight="1">
      <c r="A18" s="49"/>
      <c r="B18" s="255"/>
      <c r="C18" s="256"/>
      <c r="D18" s="252"/>
      <c r="E18" s="252"/>
      <c r="F18" s="253"/>
      <c r="G18" s="236" t="str">
        <f>if(isblank(F18), "", concatenate("(",text(Convites!TotalInvitations*F18, "$0")," total)"))</f>
        <v/>
      </c>
      <c r="H18" s="254"/>
      <c r="I18" s="236" t="str">
        <f>if(isblank(H18), "", concatenate("(",text(Convites!TotalRSVPs*H18, "$0")," total)"))</f>
        <v/>
      </c>
      <c r="J18" s="254"/>
      <c r="K18" s="236" t="str">
        <f>if(isblank(J18), "", concatenate("(",text(Convites!TotalThankyous*J18, "$0")," total)"))</f>
        <v/>
      </c>
      <c r="L18" s="254"/>
      <c r="M18" s="236" t="str">
        <f>if(isblank(L18), "", concatenate("(",text(Convites!TotalPrograms*L18, "$0")," total)"))</f>
        <v/>
      </c>
      <c r="N18" s="254"/>
      <c r="O18" s="236" t="str">
        <f>if(isblank(N18), "", concatenate("(",text(Convites!TotalPlacecards*N18, "$0")," total)"))</f>
        <v/>
      </c>
      <c r="P18" s="238">
        <f>sum((Convites!TotalInvitations*F18), (Convites!TotalRSVPs*H18), (Convites!TotalThankyous*J18), (Convites!TotalPrograms*L18), (Convites!TotalPlacecards*N18))</f>
        <v>0</v>
      </c>
      <c r="Q18" s="239"/>
    </row>
    <row r="19" ht="21.0" customHeight="1">
      <c r="A19" s="49"/>
      <c r="B19" s="257"/>
      <c r="C19" s="258"/>
      <c r="D19" s="248"/>
      <c r="E19" s="248"/>
      <c r="F19" s="249"/>
      <c r="G19" s="243" t="str">
        <f>if(isblank(F19), "", concatenate("(",text(Convites!TotalInvitations*F19, "$0")," total)"))</f>
        <v/>
      </c>
      <c r="H19" s="250"/>
      <c r="I19" s="243" t="str">
        <f>if(isblank(H19), "", concatenate("(",text(Convites!TotalRSVPs*H19, "$0")," total)"))</f>
        <v/>
      </c>
      <c r="J19" s="250"/>
      <c r="K19" s="243" t="str">
        <f>if(isblank(J19), "", concatenate("(",text(Convites!TotalThankyous*J19, "$0")," total)"))</f>
        <v/>
      </c>
      <c r="L19" s="250"/>
      <c r="M19" s="243" t="str">
        <f>if(isblank(L19), "", concatenate("(",text(Convites!TotalPrograms*L19, "$0")," total)"))</f>
        <v/>
      </c>
      <c r="N19" s="250"/>
      <c r="O19" s="243" t="str">
        <f>if(isblank(N19), "", concatenate("(",text(Convites!TotalPlacecards*N19, "$0")," total)"))</f>
        <v/>
      </c>
      <c r="P19" s="245">
        <f>sum((Convites!TotalInvitations*F19), (Convites!TotalRSVPs*H19), (Convites!TotalThankyous*J19), (Convites!TotalPrograms*L19), (Convites!TotalPlacecards*N19))</f>
        <v>0</v>
      </c>
      <c r="Q19" s="239"/>
    </row>
  </sheetData>
  <mergeCells count="8">
    <mergeCell ref="B2:C2"/>
    <mergeCell ref="K2:P3"/>
    <mergeCell ref="F3:G3"/>
    <mergeCell ref="F7:G7"/>
    <mergeCell ref="H7:I7"/>
    <mergeCell ref="J7:K7"/>
    <mergeCell ref="L7:M7"/>
    <mergeCell ref="N7:O7"/>
  </mergeCells>
  <hyperlinks>
    <hyperlink r:id="rId1" ref="E8"/>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27B0"/>
    <outlinePr summaryBelow="0" summaryRight="0"/>
  </sheetPr>
  <sheetViews>
    <sheetView showGridLines="0" workbookViewId="0"/>
  </sheetViews>
  <sheetFormatPr customHeight="1" defaultColWidth="12.63" defaultRowHeight="15.75"/>
  <cols>
    <col customWidth="1" min="1" max="1" width="5.13"/>
    <col customWidth="1" min="2" max="2" width="11.63"/>
    <col customWidth="1" min="3" max="3" width="11.38"/>
    <col customWidth="1" min="4" max="4" width="14.38"/>
    <col customWidth="1" min="5" max="5" width="14.13"/>
    <col customWidth="1" min="6" max="6" width="17.25"/>
    <col customWidth="1" min="7" max="7" width="16.5"/>
    <col customWidth="1" min="8" max="8" width="15.75"/>
    <col customWidth="1" min="9" max="9" width="10.13"/>
    <col customWidth="1" min="10" max="10" width="1.13"/>
    <col customWidth="1" min="11" max="11" width="31.88"/>
    <col customWidth="1" min="12" max="12" width="5.13"/>
  </cols>
  <sheetData>
    <row r="1" ht="6.0" customHeight="1">
      <c r="A1" s="215"/>
      <c r="B1" s="215"/>
      <c r="C1" s="215"/>
      <c r="D1" s="215"/>
      <c r="E1" s="215"/>
      <c r="F1" s="259"/>
      <c r="G1" s="215"/>
      <c r="H1" s="215"/>
      <c r="I1" s="215"/>
      <c r="J1" s="215"/>
      <c r="K1" s="215"/>
      <c r="L1" s="215"/>
    </row>
    <row r="2" ht="66.0" customHeight="1">
      <c r="A2" s="45"/>
      <c r="B2" s="216" t="s">
        <v>27</v>
      </c>
      <c r="C2" s="217"/>
      <c r="D2" s="217"/>
      <c r="E2" s="217"/>
      <c r="F2" s="260" t="s">
        <v>154</v>
      </c>
      <c r="L2" s="45"/>
    </row>
    <row r="3" ht="18.0" customHeight="1">
      <c r="A3" s="45"/>
      <c r="B3" s="261"/>
      <c r="C3" s="261"/>
      <c r="D3" s="261"/>
      <c r="E3" s="261"/>
      <c r="F3" s="262"/>
      <c r="G3" s="261"/>
      <c r="H3" s="261"/>
      <c r="I3" s="261"/>
      <c r="J3" s="261"/>
      <c r="K3" s="261"/>
      <c r="L3" s="45"/>
    </row>
    <row r="4" ht="24.0" customHeight="1">
      <c r="A4" s="180"/>
      <c r="B4" s="263" t="s">
        <v>155</v>
      </c>
      <c r="C4" s="263" t="s">
        <v>56</v>
      </c>
      <c r="D4" s="263" t="s">
        <v>57</v>
      </c>
      <c r="E4" s="263" t="s">
        <v>58</v>
      </c>
      <c r="F4" s="264" t="s">
        <v>132</v>
      </c>
      <c r="G4" s="265" t="s">
        <v>156</v>
      </c>
      <c r="H4" s="265" t="s">
        <v>157</v>
      </c>
      <c r="I4" s="265" t="s">
        <v>158</v>
      </c>
      <c r="J4" s="265"/>
      <c r="K4" s="266" t="s">
        <v>37</v>
      </c>
      <c r="L4" s="180"/>
    </row>
    <row r="5" ht="12.0" customHeight="1">
      <c r="A5" s="267"/>
      <c r="B5" s="268"/>
      <c r="C5" s="269"/>
      <c r="D5" s="270"/>
      <c r="E5" s="270"/>
      <c r="F5" s="271"/>
      <c r="G5" s="272"/>
      <c r="H5" s="273"/>
      <c r="I5" s="274"/>
      <c r="J5" s="275"/>
      <c r="K5" s="276"/>
      <c r="L5" s="277"/>
    </row>
    <row r="6" ht="21.0" customHeight="1">
      <c r="A6" s="267"/>
      <c r="B6" s="278" t="s">
        <v>159</v>
      </c>
      <c r="C6" s="269"/>
      <c r="D6" s="270"/>
      <c r="E6" s="270"/>
      <c r="F6" s="271"/>
      <c r="G6" s="272"/>
      <c r="H6" s="273"/>
      <c r="I6" s="274" t="str">
        <f>if(isblank(H6), "", G6*H6)</f>
        <v/>
      </c>
      <c r="J6" s="275"/>
      <c r="K6" s="279"/>
      <c r="L6" s="277"/>
    </row>
    <row r="7" ht="21.0" customHeight="1">
      <c r="A7" s="267"/>
      <c r="B7" s="268" t="s">
        <v>160</v>
      </c>
      <c r="C7" s="280" t="s">
        <v>62</v>
      </c>
      <c r="D7" s="280" t="s">
        <v>63</v>
      </c>
      <c r="E7" s="281" t="s">
        <v>64</v>
      </c>
      <c r="F7" s="271" t="s">
        <v>161</v>
      </c>
      <c r="G7" s="282">
        <v>0.0</v>
      </c>
      <c r="H7" s="283">
        <v>0.0</v>
      </c>
      <c r="I7" s="284">
        <f t="shared" ref="I7:I10" si="1">G7*H7</f>
        <v>0</v>
      </c>
      <c r="J7" s="285"/>
      <c r="K7" s="279"/>
      <c r="L7" s="277"/>
    </row>
    <row r="8" ht="21.0" customHeight="1">
      <c r="A8" s="267"/>
      <c r="B8" s="268" t="s">
        <v>162</v>
      </c>
      <c r="C8" s="280"/>
      <c r="D8" s="280"/>
      <c r="E8" s="280"/>
      <c r="F8" s="271"/>
      <c r="G8" s="282"/>
      <c r="H8" s="283"/>
      <c r="I8" s="284">
        <f t="shared" si="1"/>
        <v>0</v>
      </c>
      <c r="J8" s="285"/>
      <c r="K8" s="286"/>
      <c r="L8" s="277"/>
    </row>
    <row r="9" ht="21.0" customHeight="1">
      <c r="A9" s="267"/>
      <c r="B9" s="268" t="s">
        <v>163</v>
      </c>
      <c r="C9" s="280"/>
      <c r="D9" s="280"/>
      <c r="E9" s="280"/>
      <c r="F9" s="271"/>
      <c r="G9" s="282"/>
      <c r="H9" s="283"/>
      <c r="I9" s="284">
        <f t="shared" si="1"/>
        <v>0</v>
      </c>
      <c r="J9" s="285"/>
      <c r="K9" s="286"/>
      <c r="L9" s="277"/>
    </row>
    <row r="10" ht="21.0" customHeight="1">
      <c r="A10" s="267"/>
      <c r="B10" s="268" t="s">
        <v>164</v>
      </c>
      <c r="C10" s="280"/>
      <c r="D10" s="280"/>
      <c r="E10" s="280"/>
      <c r="F10" s="271"/>
      <c r="G10" s="282"/>
      <c r="H10" s="283"/>
      <c r="I10" s="284">
        <f t="shared" si="1"/>
        <v>0</v>
      </c>
      <c r="J10" s="285"/>
      <c r="K10" s="286"/>
      <c r="L10" s="277"/>
    </row>
    <row r="11" ht="12.0" customHeight="1">
      <c r="A11" s="267"/>
      <c r="B11" s="268"/>
      <c r="C11" s="287"/>
      <c r="D11" s="287"/>
      <c r="E11" s="287"/>
      <c r="F11" s="288"/>
      <c r="G11" s="289"/>
      <c r="H11" s="290"/>
      <c r="I11" s="284"/>
      <c r="J11" s="285"/>
      <c r="K11" s="291"/>
      <c r="L11" s="277"/>
    </row>
    <row r="12" ht="21.0" customHeight="1">
      <c r="A12" s="267"/>
      <c r="B12" s="278" t="s">
        <v>165</v>
      </c>
      <c r="C12" s="269"/>
      <c r="D12" s="270"/>
      <c r="E12" s="270"/>
      <c r="F12" s="271"/>
      <c r="G12" s="272"/>
      <c r="H12" s="292"/>
      <c r="I12" s="284"/>
      <c r="J12" s="275"/>
      <c r="K12" s="286"/>
      <c r="L12" s="277"/>
    </row>
    <row r="13" ht="21.0" customHeight="1">
      <c r="A13" s="267"/>
      <c r="B13" s="268" t="s">
        <v>166</v>
      </c>
      <c r="C13" s="280" t="s">
        <v>62</v>
      </c>
      <c r="D13" s="280" t="s">
        <v>63</v>
      </c>
      <c r="E13" s="281" t="s">
        <v>64</v>
      </c>
      <c r="F13" s="271" t="s">
        <v>161</v>
      </c>
      <c r="G13" s="282">
        <v>0.0</v>
      </c>
      <c r="H13" s="283">
        <v>0.0</v>
      </c>
      <c r="I13" s="284">
        <f t="shared" ref="I13:I16" si="2">G13*H13</f>
        <v>0</v>
      </c>
      <c r="J13" s="285"/>
      <c r="K13" s="286"/>
      <c r="L13" s="277"/>
    </row>
    <row r="14" ht="21.0" customHeight="1">
      <c r="A14" s="267"/>
      <c r="B14" s="268" t="s">
        <v>167</v>
      </c>
      <c r="C14" s="280"/>
      <c r="D14" s="280"/>
      <c r="E14" s="280"/>
      <c r="F14" s="271"/>
      <c r="G14" s="282"/>
      <c r="H14" s="293"/>
      <c r="I14" s="284">
        <f t="shared" si="2"/>
        <v>0</v>
      </c>
      <c r="J14" s="285"/>
      <c r="K14" s="286"/>
      <c r="L14" s="277"/>
    </row>
    <row r="15" ht="21.0" customHeight="1">
      <c r="A15" s="267"/>
      <c r="B15" s="268" t="s">
        <v>168</v>
      </c>
      <c r="C15" s="294"/>
      <c r="D15" s="294"/>
      <c r="E15" s="280"/>
      <c r="F15" s="271"/>
      <c r="G15" s="282"/>
      <c r="H15" s="293"/>
      <c r="I15" s="284">
        <f t="shared" si="2"/>
        <v>0</v>
      </c>
      <c r="J15" s="285"/>
      <c r="K15" s="286"/>
      <c r="L15" s="277"/>
    </row>
    <row r="16" ht="21.0" customHeight="1">
      <c r="A16" s="267"/>
      <c r="B16" s="268" t="s">
        <v>169</v>
      </c>
      <c r="C16" s="294"/>
      <c r="D16" s="294"/>
      <c r="E16" s="294"/>
      <c r="F16" s="288"/>
      <c r="G16" s="295"/>
      <c r="H16" s="296"/>
      <c r="I16" s="284">
        <f t="shared" si="2"/>
        <v>0</v>
      </c>
      <c r="J16" s="285"/>
      <c r="K16" s="286"/>
      <c r="L16" s="277"/>
    </row>
    <row r="17" ht="21.0" customHeight="1">
      <c r="A17" s="267"/>
      <c r="B17" s="51"/>
      <c r="C17" s="294"/>
      <c r="D17" s="294"/>
      <c r="E17" s="294"/>
      <c r="F17" s="297"/>
      <c r="G17" s="295"/>
      <c r="H17" s="298"/>
      <c r="I17" s="299"/>
      <c r="J17" s="285"/>
      <c r="K17" s="291"/>
      <c r="L17" s="277"/>
    </row>
  </sheetData>
  <mergeCells count="1">
    <mergeCell ref="F2:K2"/>
  </mergeCells>
  <hyperlinks>
    <hyperlink r:id="rId1" ref="E7"/>
    <hyperlink r:id="rId2" ref="E13"/>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27B0"/>
    <outlinePr summaryBelow="0" summaryRight="0"/>
  </sheetPr>
  <sheetViews>
    <sheetView showGridLines="0" workbookViewId="0"/>
  </sheetViews>
  <sheetFormatPr customHeight="1" defaultColWidth="12.63" defaultRowHeight="15.75"/>
  <cols>
    <col customWidth="1" min="1" max="1" width="5.13"/>
    <col customWidth="1" min="2" max="10" width="15.75"/>
    <col customWidth="1" min="11" max="11" width="5.13"/>
  </cols>
  <sheetData>
    <row r="1" ht="6.0" customHeight="1">
      <c r="A1" s="300"/>
      <c r="B1" s="301"/>
      <c r="C1" s="301"/>
      <c r="D1" s="301"/>
      <c r="E1" s="301"/>
      <c r="F1" s="301"/>
      <c r="G1" s="301"/>
      <c r="H1" s="301"/>
      <c r="I1" s="301"/>
      <c r="J1" s="301"/>
      <c r="K1" s="300"/>
    </row>
    <row r="2" ht="66.0" customHeight="1">
      <c r="A2" s="302"/>
      <c r="B2" s="216" t="s">
        <v>25</v>
      </c>
      <c r="D2" s="303"/>
      <c r="E2" s="303"/>
      <c r="F2" s="303"/>
      <c r="G2" s="303"/>
      <c r="H2" s="303"/>
      <c r="I2" s="303"/>
      <c r="J2" s="304"/>
      <c r="K2" s="302"/>
    </row>
    <row r="3" ht="23.25" customHeight="1">
      <c r="A3" s="305"/>
      <c r="B3" s="306" t="s">
        <v>170</v>
      </c>
      <c r="H3" s="307"/>
      <c r="I3" s="308" t="s">
        <v>171</v>
      </c>
      <c r="J3" s="309">
        <f>sum(B16:J16, B29:J29)</f>
        <v>1</v>
      </c>
      <c r="K3" s="310"/>
    </row>
    <row r="4" ht="17.25" customHeight="1">
      <c r="A4" s="311"/>
      <c r="B4" s="278"/>
      <c r="C4" s="278"/>
      <c r="D4" s="278"/>
      <c r="E4" s="278"/>
      <c r="F4" s="278"/>
      <c r="G4" s="278"/>
      <c r="H4" s="278"/>
      <c r="I4" s="278"/>
      <c r="J4" s="278"/>
      <c r="K4" s="311"/>
    </row>
    <row r="5" ht="24.0" customHeight="1">
      <c r="A5" s="312"/>
      <c r="B5" s="313" t="s">
        <v>172</v>
      </c>
      <c r="C5" s="313" t="s">
        <v>173</v>
      </c>
      <c r="D5" s="313" t="s">
        <v>174</v>
      </c>
      <c r="E5" s="313" t="s">
        <v>175</v>
      </c>
      <c r="F5" s="313" t="s">
        <v>176</v>
      </c>
      <c r="G5" s="313" t="s">
        <v>177</v>
      </c>
      <c r="H5" s="313" t="s">
        <v>178</v>
      </c>
      <c r="I5" s="313" t="s">
        <v>179</v>
      </c>
      <c r="J5" s="313" t="s">
        <v>180</v>
      </c>
      <c r="K5" s="312"/>
    </row>
    <row r="6" ht="21.0" customHeight="1">
      <c r="A6" s="314"/>
      <c r="B6" s="315" t="s">
        <v>181</v>
      </c>
      <c r="C6" s="315"/>
      <c r="D6" s="315"/>
      <c r="E6" s="315"/>
      <c r="F6" s="315"/>
      <c r="G6" s="315"/>
      <c r="H6" s="315"/>
      <c r="I6" s="315"/>
      <c r="J6" s="315"/>
      <c r="K6" s="314"/>
    </row>
    <row r="7" ht="21.0" customHeight="1">
      <c r="A7" s="314"/>
      <c r="B7" s="315"/>
      <c r="C7" s="315"/>
      <c r="D7" s="315"/>
      <c r="E7" s="315"/>
      <c r="F7" s="315"/>
      <c r="G7" s="315"/>
      <c r="H7" s="315"/>
      <c r="I7" s="315"/>
      <c r="J7" s="315"/>
      <c r="K7" s="314"/>
    </row>
    <row r="8" ht="21.0" customHeight="1">
      <c r="A8" s="314"/>
      <c r="B8" s="315"/>
      <c r="C8" s="315"/>
      <c r="D8" s="315"/>
      <c r="E8" s="315"/>
      <c r="F8" s="315"/>
      <c r="G8" s="315"/>
      <c r="H8" s="315"/>
      <c r="I8" s="315"/>
      <c r="J8" s="315"/>
      <c r="K8" s="314"/>
    </row>
    <row r="9" ht="21.0" customHeight="1">
      <c r="A9" s="314"/>
      <c r="B9" s="315"/>
      <c r="C9" s="315"/>
      <c r="D9" s="315"/>
      <c r="E9" s="315"/>
      <c r="F9" s="315"/>
      <c r="G9" s="315"/>
      <c r="H9" s="315"/>
      <c r="I9" s="315"/>
      <c r="J9" s="315"/>
      <c r="K9" s="314"/>
    </row>
    <row r="10" ht="21.0" customHeight="1">
      <c r="A10" s="314"/>
      <c r="B10" s="315"/>
      <c r="C10" s="315"/>
      <c r="D10" s="315"/>
      <c r="E10" s="315"/>
      <c r="F10" s="315"/>
      <c r="G10" s="315"/>
      <c r="H10" s="315"/>
      <c r="I10" s="315"/>
      <c r="J10" s="315"/>
      <c r="K10" s="314"/>
    </row>
    <row r="11" ht="21.0" customHeight="1">
      <c r="A11" s="314"/>
      <c r="B11" s="315"/>
      <c r="C11" s="315"/>
      <c r="D11" s="315"/>
      <c r="E11" s="315"/>
      <c r="F11" s="315"/>
      <c r="G11" s="315"/>
      <c r="H11" s="315"/>
      <c r="I11" s="315"/>
      <c r="J11" s="315"/>
      <c r="K11" s="314"/>
    </row>
    <row r="12" ht="21.0" customHeight="1">
      <c r="A12" s="314"/>
      <c r="B12" s="315"/>
      <c r="C12" s="315"/>
      <c r="D12" s="315"/>
      <c r="E12" s="315"/>
      <c r="F12" s="315"/>
      <c r="G12" s="315"/>
      <c r="H12" s="315"/>
      <c r="I12" s="315"/>
      <c r="J12" s="315"/>
      <c r="K12" s="314"/>
    </row>
    <row r="13" ht="21.0" customHeight="1">
      <c r="A13" s="314"/>
      <c r="B13" s="315"/>
      <c r="C13" s="315"/>
      <c r="D13" s="315"/>
      <c r="E13" s="315"/>
      <c r="F13" s="315"/>
      <c r="G13" s="315"/>
      <c r="H13" s="315"/>
      <c r="I13" s="315"/>
      <c r="J13" s="315"/>
      <c r="K13" s="314"/>
    </row>
    <row r="14" ht="21.0" customHeight="1">
      <c r="A14" s="314"/>
      <c r="B14" s="315"/>
      <c r="C14" s="315"/>
      <c r="D14" s="315"/>
      <c r="E14" s="315"/>
      <c r="F14" s="315"/>
      <c r="G14" s="315"/>
      <c r="H14" s="315"/>
      <c r="I14" s="315"/>
      <c r="J14" s="315"/>
      <c r="K14" s="314"/>
    </row>
    <row r="15" ht="21.0" customHeight="1">
      <c r="A15" s="314"/>
      <c r="B15" s="315"/>
      <c r="C15" s="315"/>
      <c r="D15" s="315"/>
      <c r="E15" s="315"/>
      <c r="F15" s="315"/>
      <c r="G15" s="315"/>
      <c r="H15" s="315"/>
      <c r="I15" s="315"/>
      <c r="J15" s="315"/>
      <c r="K15" s="314"/>
    </row>
    <row r="16" ht="21.0" customHeight="1">
      <c r="A16" s="316"/>
      <c r="B16" s="317">
        <f t="shared" ref="B16:J16" si="1">counta(B6:B15)</f>
        <v>1</v>
      </c>
      <c r="C16" s="317">
        <f t="shared" si="1"/>
        <v>0</v>
      </c>
      <c r="D16" s="317">
        <f t="shared" si="1"/>
        <v>0</v>
      </c>
      <c r="E16" s="317">
        <f t="shared" si="1"/>
        <v>0</v>
      </c>
      <c r="F16" s="317">
        <f t="shared" si="1"/>
        <v>0</v>
      </c>
      <c r="G16" s="317">
        <f t="shared" si="1"/>
        <v>0</v>
      </c>
      <c r="H16" s="317">
        <f t="shared" si="1"/>
        <v>0</v>
      </c>
      <c r="I16" s="317">
        <f t="shared" si="1"/>
        <v>0</v>
      </c>
      <c r="J16" s="317">
        <f t="shared" si="1"/>
        <v>0</v>
      </c>
      <c r="K16" s="316"/>
    </row>
    <row r="17" ht="18.0" customHeight="1">
      <c r="A17" s="318"/>
      <c r="B17" s="319"/>
      <c r="C17" s="320"/>
      <c r="D17" s="321"/>
      <c r="E17" s="321"/>
      <c r="F17" s="321"/>
      <c r="G17" s="321"/>
      <c r="H17" s="322"/>
      <c r="I17" s="322"/>
      <c r="J17" s="323"/>
      <c r="K17" s="324"/>
    </row>
    <row r="18" ht="18.0" customHeight="1">
      <c r="A18" s="325"/>
      <c r="B18" s="326" t="s">
        <v>182</v>
      </c>
      <c r="C18" s="326" t="s">
        <v>183</v>
      </c>
      <c r="D18" s="326" t="s">
        <v>184</v>
      </c>
      <c r="E18" s="326" t="s">
        <v>185</v>
      </c>
      <c r="F18" s="326" t="s">
        <v>186</v>
      </c>
      <c r="G18" s="326" t="s">
        <v>187</v>
      </c>
      <c r="H18" s="326" t="s">
        <v>188</v>
      </c>
      <c r="I18" s="326" t="s">
        <v>189</v>
      </c>
      <c r="J18" s="326" t="s">
        <v>190</v>
      </c>
      <c r="K18" s="327"/>
    </row>
    <row r="19" ht="18.0" customHeight="1">
      <c r="A19" s="328"/>
      <c r="B19" s="315"/>
      <c r="C19" s="315"/>
      <c r="D19" s="315"/>
      <c r="E19" s="315"/>
      <c r="F19" s="315"/>
      <c r="G19" s="315"/>
      <c r="H19" s="315"/>
      <c r="I19" s="315"/>
      <c r="J19" s="315"/>
      <c r="K19" s="327"/>
    </row>
    <row r="20" ht="18.0" customHeight="1">
      <c r="A20" s="328"/>
      <c r="B20" s="315"/>
      <c r="C20" s="315"/>
      <c r="D20" s="315"/>
      <c r="E20" s="315"/>
      <c r="F20" s="315"/>
      <c r="G20" s="315"/>
      <c r="H20" s="315"/>
      <c r="I20" s="315"/>
      <c r="J20" s="315"/>
      <c r="K20" s="327"/>
    </row>
    <row r="21" ht="18.0" customHeight="1">
      <c r="A21" s="328"/>
      <c r="B21" s="315"/>
      <c r="C21" s="315"/>
      <c r="D21" s="315"/>
      <c r="E21" s="315"/>
      <c r="F21" s="315"/>
      <c r="G21" s="315"/>
      <c r="H21" s="315"/>
      <c r="I21" s="315"/>
      <c r="J21" s="315"/>
      <c r="K21" s="327"/>
    </row>
    <row r="22" ht="18.0" customHeight="1">
      <c r="A22" s="328"/>
      <c r="B22" s="315"/>
      <c r="C22" s="315"/>
      <c r="D22" s="315"/>
      <c r="E22" s="315"/>
      <c r="F22" s="315"/>
      <c r="G22" s="315"/>
      <c r="H22" s="315"/>
      <c r="I22" s="315"/>
      <c r="J22" s="315"/>
      <c r="K22" s="327"/>
    </row>
    <row r="23" ht="18.0" customHeight="1">
      <c r="A23" s="328"/>
      <c r="B23" s="315"/>
      <c r="C23" s="315"/>
      <c r="D23" s="315"/>
      <c r="E23" s="315"/>
      <c r="F23" s="315"/>
      <c r="G23" s="315"/>
      <c r="H23" s="315"/>
      <c r="I23" s="315"/>
      <c r="J23" s="315"/>
      <c r="K23" s="327"/>
    </row>
    <row r="24" ht="18.0" customHeight="1">
      <c r="A24" s="328"/>
      <c r="B24" s="315"/>
      <c r="C24" s="315"/>
      <c r="D24" s="315"/>
      <c r="E24" s="315"/>
      <c r="F24" s="315"/>
      <c r="G24" s="315"/>
      <c r="H24" s="315"/>
      <c r="I24" s="315"/>
      <c r="J24" s="315"/>
      <c r="K24" s="327"/>
    </row>
    <row r="25" ht="18.0" customHeight="1">
      <c r="A25" s="328"/>
      <c r="B25" s="315"/>
      <c r="C25" s="315"/>
      <c r="D25" s="315"/>
      <c r="E25" s="315"/>
      <c r="F25" s="315"/>
      <c r="G25" s="315"/>
      <c r="H25" s="315"/>
      <c r="I25" s="315"/>
      <c r="J25" s="315"/>
      <c r="K25" s="327"/>
    </row>
    <row r="26" ht="18.0" customHeight="1">
      <c r="A26" s="328"/>
      <c r="B26" s="315"/>
      <c r="C26" s="315"/>
      <c r="D26" s="315"/>
      <c r="E26" s="315"/>
      <c r="F26" s="315"/>
      <c r="G26" s="315"/>
      <c r="H26" s="315"/>
      <c r="I26" s="315"/>
      <c r="J26" s="315"/>
      <c r="K26" s="327"/>
    </row>
    <row r="27" ht="18.0" customHeight="1">
      <c r="A27" s="328"/>
      <c r="B27" s="315"/>
      <c r="C27" s="315"/>
      <c r="D27" s="315"/>
      <c r="E27" s="315"/>
      <c r="F27" s="315"/>
      <c r="G27" s="315"/>
      <c r="H27" s="315"/>
      <c r="I27" s="315"/>
      <c r="J27" s="315"/>
      <c r="K27" s="327"/>
    </row>
    <row r="28" ht="18.0" customHeight="1">
      <c r="A28" s="328"/>
      <c r="B28" s="315"/>
      <c r="C28" s="315"/>
      <c r="D28" s="315"/>
      <c r="E28" s="315"/>
      <c r="F28" s="315"/>
      <c r="G28" s="315"/>
      <c r="H28" s="315"/>
      <c r="I28" s="315"/>
      <c r="J28" s="315"/>
      <c r="K28" s="327"/>
    </row>
    <row r="29" ht="18.0" customHeight="1">
      <c r="A29" s="328"/>
      <c r="B29" s="329">
        <f t="shared" ref="B29:J29" si="2">counta(B19:B28)</f>
        <v>0</v>
      </c>
      <c r="C29" s="329">
        <f t="shared" si="2"/>
        <v>0</v>
      </c>
      <c r="D29" s="329">
        <f t="shared" si="2"/>
        <v>0</v>
      </c>
      <c r="E29" s="329">
        <f t="shared" si="2"/>
        <v>0</v>
      </c>
      <c r="F29" s="329">
        <f t="shared" si="2"/>
        <v>0</v>
      </c>
      <c r="G29" s="329">
        <f t="shared" si="2"/>
        <v>0</v>
      </c>
      <c r="H29" s="329">
        <f t="shared" si="2"/>
        <v>0</v>
      </c>
      <c r="I29" s="329">
        <f t="shared" si="2"/>
        <v>0</v>
      </c>
      <c r="J29" s="329">
        <f t="shared" si="2"/>
        <v>0</v>
      </c>
      <c r="K29" s="327"/>
    </row>
    <row r="30" ht="23.25" customHeight="1">
      <c r="A30" s="318"/>
      <c r="B30" s="319"/>
      <c r="C30" s="320"/>
      <c r="D30" s="321"/>
      <c r="E30" s="321"/>
      <c r="F30" s="321"/>
      <c r="G30" s="321"/>
      <c r="H30" s="322"/>
      <c r="I30" s="322"/>
      <c r="J30" s="323"/>
      <c r="K30" s="324"/>
    </row>
    <row r="31" ht="21.0" customHeight="1">
      <c r="A31" s="330"/>
      <c r="B31" s="330"/>
      <c r="C31" s="330"/>
      <c r="D31" s="330"/>
      <c r="E31" s="330"/>
      <c r="F31" s="330"/>
      <c r="G31" s="330"/>
      <c r="H31" s="330"/>
      <c r="I31" s="330"/>
      <c r="J31" s="330"/>
      <c r="K31" s="330"/>
    </row>
    <row r="32" ht="21.0" customHeight="1">
      <c r="A32" s="330"/>
      <c r="B32" s="330"/>
      <c r="C32" s="330"/>
      <c r="D32" s="330"/>
      <c r="E32" s="330"/>
      <c r="F32" s="330"/>
      <c r="G32" s="330"/>
      <c r="H32" s="330"/>
      <c r="I32" s="330"/>
      <c r="J32" s="330"/>
      <c r="K32" s="330"/>
    </row>
    <row r="33" ht="21.0" customHeight="1">
      <c r="A33" s="330"/>
      <c r="B33" s="330"/>
      <c r="C33" s="330"/>
      <c r="D33" s="330"/>
      <c r="E33" s="330"/>
      <c r="F33" s="330"/>
      <c r="G33" s="330"/>
      <c r="H33" s="330"/>
      <c r="I33" s="330"/>
      <c r="J33" s="330"/>
      <c r="K33" s="330"/>
    </row>
    <row r="34" ht="21.0" customHeight="1">
      <c r="A34" s="330"/>
      <c r="B34" s="330"/>
      <c r="C34" s="330"/>
      <c r="D34" s="330"/>
      <c r="E34" s="330"/>
      <c r="F34" s="330"/>
      <c r="G34" s="330"/>
      <c r="H34" s="330"/>
      <c r="I34" s="330"/>
      <c r="J34" s="330"/>
      <c r="K34" s="330"/>
    </row>
    <row r="35" ht="21.0" customHeight="1">
      <c r="A35" s="330"/>
      <c r="B35" s="330"/>
      <c r="C35" s="330"/>
      <c r="D35" s="330"/>
      <c r="E35" s="330"/>
      <c r="F35" s="330"/>
      <c r="G35" s="330"/>
      <c r="H35" s="330"/>
      <c r="I35" s="330"/>
      <c r="J35" s="330"/>
      <c r="K35" s="330"/>
    </row>
    <row r="36" ht="21.0" customHeight="1">
      <c r="A36" s="330"/>
      <c r="B36" s="330"/>
      <c r="C36" s="330"/>
      <c r="D36" s="330"/>
      <c r="E36" s="330"/>
      <c r="F36" s="330"/>
      <c r="G36" s="330"/>
      <c r="H36" s="330"/>
      <c r="I36" s="330"/>
      <c r="J36" s="330"/>
      <c r="K36" s="330"/>
    </row>
    <row r="37" ht="21.0" customHeight="1">
      <c r="A37" s="330"/>
      <c r="B37" s="330"/>
      <c r="C37" s="330"/>
      <c r="D37" s="330"/>
      <c r="E37" s="330"/>
      <c r="F37" s="330"/>
      <c r="G37" s="330"/>
      <c r="H37" s="330"/>
      <c r="I37" s="330"/>
      <c r="J37" s="330"/>
      <c r="K37" s="330"/>
    </row>
    <row r="38" ht="21.0" customHeight="1">
      <c r="A38" s="330"/>
      <c r="B38" s="330"/>
      <c r="C38" s="330"/>
      <c r="D38" s="330"/>
      <c r="E38" s="330"/>
      <c r="F38" s="330"/>
      <c r="G38" s="330"/>
      <c r="H38" s="330"/>
      <c r="I38" s="330"/>
      <c r="J38" s="330"/>
      <c r="K38" s="330"/>
    </row>
    <row r="39" ht="21.0" customHeight="1">
      <c r="A39" s="330"/>
      <c r="B39" s="330"/>
      <c r="C39" s="330"/>
      <c r="D39" s="330"/>
      <c r="E39" s="330"/>
      <c r="F39" s="330"/>
      <c r="G39" s="330"/>
      <c r="H39" s="330"/>
      <c r="I39" s="330"/>
      <c r="J39" s="330"/>
      <c r="K39" s="330"/>
    </row>
    <row r="40" ht="21.0" customHeight="1">
      <c r="A40" s="330"/>
      <c r="B40" s="330"/>
      <c r="C40" s="330"/>
      <c r="D40" s="330"/>
      <c r="E40" s="330"/>
      <c r="F40" s="330"/>
      <c r="G40" s="330"/>
      <c r="H40" s="330"/>
      <c r="I40" s="330"/>
      <c r="J40" s="330"/>
      <c r="K40" s="330"/>
    </row>
    <row r="41" ht="21.0" customHeight="1">
      <c r="A41" s="330"/>
      <c r="B41" s="330"/>
      <c r="C41" s="330"/>
      <c r="D41" s="330"/>
      <c r="E41" s="330"/>
      <c r="F41" s="330"/>
      <c r="G41" s="330"/>
      <c r="H41" s="330"/>
      <c r="I41" s="330"/>
      <c r="J41" s="330"/>
      <c r="K41" s="330"/>
    </row>
  </sheetData>
  <mergeCells count="2">
    <mergeCell ref="B2:C2"/>
    <mergeCell ref="B3:G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88D1"/>
    <outlinePr summaryBelow="0" summaryRight="0"/>
  </sheetPr>
  <sheetViews>
    <sheetView showGridLines="0" workbookViewId="0"/>
  </sheetViews>
  <sheetFormatPr customHeight="1" defaultColWidth="12.63" defaultRowHeight="15.75"/>
  <cols>
    <col customWidth="1" min="1" max="1" width="5.13"/>
    <col customWidth="1" min="2" max="2" width="13.25"/>
    <col customWidth="1" min="3" max="3" width="14.25"/>
    <col customWidth="1" min="4" max="4" width="11.38"/>
    <col customWidth="1" min="5" max="5" width="13.25"/>
    <col customWidth="1" min="6" max="6" width="12.75"/>
    <col customWidth="1" min="8" max="8" width="15.88"/>
    <col customWidth="1" min="9" max="9" width="31.88"/>
    <col customWidth="1" min="10" max="10" width="5.13"/>
  </cols>
  <sheetData>
    <row r="1" ht="6.0" customHeight="1">
      <c r="A1" s="331"/>
    </row>
    <row r="2" ht="66.0" customHeight="1">
      <c r="A2" s="45"/>
      <c r="B2" s="332" t="s">
        <v>33</v>
      </c>
      <c r="C2" s="333"/>
      <c r="D2" s="333"/>
      <c r="E2" s="334" t="s">
        <v>191</v>
      </c>
      <c r="J2" s="45"/>
    </row>
    <row r="3" ht="12.0" customHeight="1">
      <c r="A3" s="45"/>
      <c r="B3" s="335"/>
      <c r="C3" s="335"/>
      <c r="D3" s="335"/>
      <c r="E3" s="335"/>
      <c r="F3" s="335"/>
      <c r="G3" s="335"/>
      <c r="H3" s="336"/>
      <c r="I3" s="335"/>
      <c r="J3" s="45"/>
    </row>
    <row r="4" ht="12.0" customHeight="1">
      <c r="A4" s="225"/>
      <c r="B4" s="337"/>
      <c r="C4" s="337"/>
      <c r="D4" s="337"/>
      <c r="E4" s="337"/>
      <c r="F4" s="337"/>
      <c r="G4" s="337"/>
      <c r="H4" s="338"/>
      <c r="I4" s="337"/>
      <c r="J4" s="225"/>
    </row>
    <row r="5" ht="24.0" customHeight="1">
      <c r="A5" s="227"/>
      <c r="B5" s="339" t="s">
        <v>192</v>
      </c>
      <c r="C5" s="339" t="s">
        <v>193</v>
      </c>
      <c r="D5" s="339" t="s">
        <v>56</v>
      </c>
      <c r="E5" s="339" t="s">
        <v>58</v>
      </c>
      <c r="F5" s="340" t="s">
        <v>194</v>
      </c>
      <c r="G5" s="339" t="s">
        <v>195</v>
      </c>
      <c r="H5" s="340" t="s">
        <v>196</v>
      </c>
      <c r="I5" s="341" t="s">
        <v>37</v>
      </c>
      <c r="J5" s="227"/>
    </row>
    <row r="6" ht="21.0" customHeight="1">
      <c r="A6" s="267"/>
      <c r="B6" s="342" t="s">
        <v>197</v>
      </c>
      <c r="C6" s="233" t="s">
        <v>60</v>
      </c>
      <c r="D6" s="233" t="s">
        <v>62</v>
      </c>
      <c r="E6" s="234" t="s">
        <v>64</v>
      </c>
      <c r="F6" s="343">
        <v>0.0</v>
      </c>
      <c r="G6" s="344">
        <v>0.0</v>
      </c>
      <c r="H6" s="345">
        <v>0.0</v>
      </c>
      <c r="I6" s="346"/>
      <c r="J6" s="277"/>
    </row>
    <row r="7" ht="21.0" customHeight="1">
      <c r="A7" s="267"/>
      <c r="B7" s="347"/>
      <c r="C7" s="247"/>
      <c r="D7" s="241"/>
      <c r="E7" s="241"/>
      <c r="F7" s="348"/>
      <c r="G7" s="349"/>
      <c r="H7" s="350"/>
      <c r="I7" s="351"/>
      <c r="J7" s="277"/>
    </row>
    <row r="8" ht="21.0" customHeight="1">
      <c r="A8" s="267"/>
      <c r="B8" s="342"/>
      <c r="C8" s="251"/>
      <c r="D8" s="233"/>
      <c r="E8" s="252"/>
      <c r="F8" s="352"/>
      <c r="G8" s="353"/>
      <c r="H8" s="354"/>
      <c r="I8" s="355"/>
      <c r="J8" s="277"/>
    </row>
    <row r="9" ht="21.0" customHeight="1">
      <c r="A9" s="267"/>
      <c r="B9" s="347"/>
      <c r="C9" s="247"/>
      <c r="D9" s="248"/>
      <c r="E9" s="248"/>
      <c r="F9" s="356"/>
      <c r="G9" s="357"/>
      <c r="H9" s="358"/>
      <c r="I9" s="359"/>
      <c r="J9" s="277"/>
    </row>
    <row r="10" ht="21.0" customHeight="1">
      <c r="A10" s="267"/>
      <c r="B10" s="342"/>
      <c r="C10" s="251"/>
      <c r="D10" s="252"/>
      <c r="E10" s="252"/>
      <c r="F10" s="352"/>
      <c r="G10" s="353"/>
      <c r="H10" s="354"/>
      <c r="I10" s="355"/>
      <c r="J10" s="277"/>
    </row>
    <row r="11" ht="21.0" customHeight="1">
      <c r="A11" s="267"/>
      <c r="B11" s="347"/>
      <c r="C11" s="247"/>
      <c r="D11" s="248"/>
      <c r="E11" s="248"/>
      <c r="F11" s="356"/>
      <c r="G11" s="357"/>
      <c r="H11" s="358"/>
      <c r="I11" s="359"/>
      <c r="J11" s="277"/>
    </row>
    <row r="12" ht="21.0" customHeight="1">
      <c r="A12" s="267"/>
      <c r="B12" s="342"/>
      <c r="C12" s="251"/>
      <c r="D12" s="252"/>
      <c r="E12" s="252"/>
      <c r="F12" s="352"/>
      <c r="G12" s="353"/>
      <c r="H12" s="354"/>
      <c r="I12" s="355"/>
      <c r="J12" s="277"/>
    </row>
    <row r="13" ht="21.0" customHeight="1">
      <c r="A13" s="267"/>
      <c r="B13" s="347"/>
      <c r="C13" s="247"/>
      <c r="D13" s="248"/>
      <c r="E13" s="248"/>
      <c r="F13" s="356"/>
      <c r="G13" s="357"/>
      <c r="H13" s="358"/>
      <c r="I13" s="359"/>
      <c r="J13" s="277"/>
    </row>
    <row r="14" ht="21.0" customHeight="1">
      <c r="A14" s="267"/>
      <c r="B14" s="360"/>
      <c r="C14" s="256"/>
      <c r="D14" s="252"/>
      <c r="E14" s="252"/>
      <c r="F14" s="352"/>
      <c r="G14" s="353"/>
      <c r="H14" s="354"/>
      <c r="I14" s="355"/>
      <c r="J14" s="277"/>
    </row>
    <row r="15" ht="21.0" customHeight="1">
      <c r="A15" s="267"/>
      <c r="B15" s="347"/>
      <c r="C15" s="241"/>
      <c r="D15" s="241"/>
      <c r="E15" s="241"/>
      <c r="F15" s="348"/>
      <c r="G15" s="349"/>
      <c r="H15" s="361"/>
      <c r="I15" s="362"/>
      <c r="J15" s="277"/>
    </row>
    <row r="16" ht="21.0" customHeight="1">
      <c r="A16" s="267"/>
      <c r="B16" s="360"/>
      <c r="C16" s="256"/>
      <c r="D16" s="252"/>
      <c r="E16" s="252"/>
      <c r="F16" s="352"/>
      <c r="G16" s="353"/>
      <c r="H16" s="354"/>
      <c r="I16" s="355"/>
      <c r="J16" s="277"/>
    </row>
    <row r="17" ht="21.0" customHeight="1">
      <c r="A17" s="267"/>
      <c r="B17" s="363"/>
      <c r="C17" s="258"/>
      <c r="D17" s="248"/>
      <c r="E17" s="248"/>
      <c r="F17" s="356"/>
      <c r="G17" s="357"/>
      <c r="H17" s="358"/>
      <c r="I17" s="359"/>
      <c r="J17" s="277"/>
    </row>
  </sheetData>
  <mergeCells count="2">
    <mergeCell ref="A1:J1"/>
    <mergeCell ref="E2:I2"/>
  </mergeCells>
  <hyperlinks>
    <hyperlink r:id="rId1" ref="E6"/>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88D1"/>
    <outlinePr summaryBelow="0" summaryRight="0"/>
  </sheetPr>
  <sheetViews>
    <sheetView showGridLines="0" workbookViewId="0"/>
  </sheetViews>
  <sheetFormatPr customHeight="1" defaultColWidth="12.63" defaultRowHeight="15.75"/>
  <cols>
    <col customWidth="1" min="1" max="1" width="5.13"/>
    <col customWidth="1" min="2" max="2" width="13.5"/>
    <col customWidth="1" min="3" max="3" width="14.38"/>
    <col customWidth="1" min="4" max="4" width="11.38"/>
    <col customWidth="1" min="5" max="5" width="14.5"/>
    <col customWidth="1" min="6" max="6" width="11.5"/>
    <col customWidth="1" min="8" max="8" width="9.5"/>
    <col customWidth="1" min="9" max="9" width="13.5"/>
    <col customWidth="1" min="10" max="10" width="12.75"/>
    <col customWidth="1" min="11" max="11" width="11.88"/>
    <col customWidth="1" min="12" max="12" width="19.88"/>
    <col customWidth="1" min="13" max="13" width="31.88"/>
    <col customWidth="1" min="14" max="14" width="5.13"/>
  </cols>
  <sheetData>
    <row r="1" ht="6.0" customHeight="1">
      <c r="A1" s="331"/>
    </row>
    <row r="2" ht="66.0" customHeight="1">
      <c r="A2" s="364"/>
      <c r="B2" s="365" t="s">
        <v>32</v>
      </c>
      <c r="C2" s="366"/>
      <c r="D2" s="366"/>
      <c r="E2" s="366"/>
      <c r="F2" s="366"/>
      <c r="G2" s="366"/>
      <c r="H2" s="366"/>
      <c r="I2" s="366"/>
      <c r="J2" s="366"/>
      <c r="K2" s="366"/>
      <c r="L2" s="366"/>
      <c r="M2" s="260" t="s">
        <v>198</v>
      </c>
      <c r="N2" s="364"/>
    </row>
    <row r="3" ht="12.0" customHeight="1">
      <c r="A3" s="367"/>
      <c r="B3" s="368"/>
      <c r="C3" s="368"/>
      <c r="D3" s="368"/>
      <c r="E3" s="368"/>
      <c r="F3" s="368"/>
      <c r="G3" s="368"/>
      <c r="H3" s="368"/>
      <c r="I3" s="368"/>
      <c r="J3" s="368"/>
      <c r="K3" s="368"/>
      <c r="L3" s="368"/>
      <c r="M3" s="368"/>
      <c r="N3" s="367"/>
    </row>
    <row r="4" ht="12.0" customHeight="1">
      <c r="A4" s="369"/>
      <c r="B4" s="370"/>
      <c r="C4" s="370"/>
      <c r="D4" s="370"/>
      <c r="E4" s="370"/>
      <c r="F4" s="370"/>
      <c r="G4" s="370"/>
      <c r="H4" s="370"/>
      <c r="I4" s="370"/>
      <c r="J4" s="370"/>
      <c r="K4" s="370"/>
      <c r="L4" s="370"/>
      <c r="M4" s="370"/>
      <c r="N4" s="369"/>
    </row>
    <row r="5" ht="24.0" customHeight="1">
      <c r="A5" s="371"/>
      <c r="B5" s="372" t="s">
        <v>32</v>
      </c>
      <c r="C5" s="372" t="s">
        <v>193</v>
      </c>
      <c r="D5" s="372" t="s">
        <v>56</v>
      </c>
      <c r="E5" s="372" t="s">
        <v>57</v>
      </c>
      <c r="F5" s="372" t="s">
        <v>58</v>
      </c>
      <c r="G5" s="372" t="s">
        <v>122</v>
      </c>
      <c r="H5" s="373" t="s">
        <v>199</v>
      </c>
      <c r="I5" s="373" t="s">
        <v>200</v>
      </c>
      <c r="J5" s="373" t="s">
        <v>201</v>
      </c>
      <c r="K5" s="373" t="s">
        <v>202</v>
      </c>
      <c r="L5" s="373" t="s">
        <v>203</v>
      </c>
      <c r="M5" s="374" t="s">
        <v>37</v>
      </c>
      <c r="N5" s="371"/>
    </row>
    <row r="6" ht="21.0" customHeight="1">
      <c r="A6" s="50"/>
      <c r="B6" s="375" t="s">
        <v>204</v>
      </c>
      <c r="C6" s="73" t="s">
        <v>60</v>
      </c>
      <c r="D6" s="376" t="s">
        <v>62</v>
      </c>
      <c r="E6" s="233" t="s">
        <v>63</v>
      </c>
      <c r="F6" s="234" t="s">
        <v>64</v>
      </c>
      <c r="G6" s="377" t="s">
        <v>205</v>
      </c>
      <c r="H6" s="378">
        <v>0.0</v>
      </c>
      <c r="I6" s="378">
        <v>0.0</v>
      </c>
      <c r="J6" s="379">
        <v>0.0</v>
      </c>
      <c r="K6" s="379">
        <v>0.0</v>
      </c>
      <c r="L6" s="379">
        <v>0.0</v>
      </c>
      <c r="M6" s="346"/>
      <c r="N6" s="380"/>
    </row>
    <row r="7" ht="21.0" customHeight="1">
      <c r="A7" s="50"/>
      <c r="B7" s="381"/>
      <c r="C7" s="382"/>
      <c r="D7" s="383"/>
      <c r="E7" s="383"/>
      <c r="F7" s="383"/>
      <c r="G7" s="384"/>
      <c r="H7" s="385"/>
      <c r="I7" s="385"/>
      <c r="J7" s="386"/>
      <c r="K7" s="386"/>
      <c r="L7" s="386"/>
      <c r="M7" s="351"/>
      <c r="N7" s="380"/>
    </row>
    <row r="8" ht="21.0" customHeight="1">
      <c r="A8" s="50"/>
      <c r="B8" s="375"/>
      <c r="C8" s="387"/>
      <c r="D8" s="376"/>
      <c r="E8" s="388"/>
      <c r="F8" s="388"/>
      <c r="G8" s="389"/>
      <c r="H8" s="390"/>
      <c r="I8" s="390"/>
      <c r="J8" s="391"/>
      <c r="K8" s="391"/>
      <c r="L8" s="391"/>
      <c r="M8" s="355"/>
      <c r="N8" s="380"/>
    </row>
    <row r="9" ht="21.0" customHeight="1">
      <c r="A9" s="50"/>
      <c r="B9" s="381"/>
      <c r="C9" s="382"/>
      <c r="D9" s="392"/>
      <c r="E9" s="392"/>
      <c r="F9" s="392"/>
      <c r="G9" s="393"/>
      <c r="H9" s="394"/>
      <c r="I9" s="395"/>
      <c r="J9" s="386"/>
      <c r="K9" s="396"/>
      <c r="L9" s="396"/>
      <c r="M9" s="359"/>
      <c r="N9" s="380"/>
    </row>
    <row r="10" ht="21.0" customHeight="1">
      <c r="A10" s="50"/>
      <c r="B10" s="375"/>
      <c r="C10" s="387"/>
      <c r="D10" s="388"/>
      <c r="E10" s="388"/>
      <c r="F10" s="388"/>
      <c r="G10" s="389"/>
      <c r="H10" s="390"/>
      <c r="I10" s="390"/>
      <c r="J10" s="379"/>
      <c r="K10" s="391"/>
      <c r="L10" s="391"/>
      <c r="M10" s="355"/>
      <c r="N10" s="380"/>
    </row>
    <row r="11" ht="21.0" customHeight="1">
      <c r="A11" s="50"/>
      <c r="B11" s="381"/>
      <c r="C11" s="382"/>
      <c r="D11" s="392"/>
      <c r="E11" s="392"/>
      <c r="F11" s="392"/>
      <c r="G11" s="393"/>
      <c r="H11" s="395"/>
      <c r="I11" s="395"/>
      <c r="J11" s="396"/>
      <c r="K11" s="396"/>
      <c r="L11" s="396"/>
      <c r="M11" s="359"/>
      <c r="N11" s="380"/>
    </row>
    <row r="12" ht="21.0" customHeight="1">
      <c r="A12" s="50"/>
      <c r="B12" s="375"/>
      <c r="C12" s="387"/>
      <c r="D12" s="388"/>
      <c r="E12" s="388"/>
      <c r="F12" s="388"/>
      <c r="G12" s="389"/>
      <c r="H12" s="390"/>
      <c r="I12" s="390"/>
      <c r="J12" s="391"/>
      <c r="K12" s="391"/>
      <c r="L12" s="391"/>
      <c r="M12" s="355"/>
      <c r="N12" s="380"/>
    </row>
    <row r="13" ht="21.0" customHeight="1">
      <c r="A13" s="50"/>
      <c r="B13" s="381"/>
      <c r="C13" s="382"/>
      <c r="D13" s="392"/>
      <c r="E13" s="392"/>
      <c r="F13" s="392"/>
      <c r="G13" s="393"/>
      <c r="H13" s="395"/>
      <c r="I13" s="395"/>
      <c r="J13" s="396"/>
      <c r="K13" s="396"/>
      <c r="L13" s="396"/>
      <c r="M13" s="359"/>
      <c r="N13" s="380"/>
    </row>
    <row r="14" ht="21.0" customHeight="1">
      <c r="A14" s="50"/>
      <c r="B14" s="375"/>
      <c r="C14" s="101"/>
      <c r="D14" s="388"/>
      <c r="E14" s="388"/>
      <c r="F14" s="388"/>
      <c r="G14" s="389"/>
      <c r="H14" s="390"/>
      <c r="I14" s="390"/>
      <c r="J14" s="391"/>
      <c r="K14" s="391"/>
      <c r="L14" s="391"/>
      <c r="M14" s="355"/>
      <c r="N14" s="380"/>
    </row>
    <row r="15" ht="21.0" customHeight="1">
      <c r="A15" s="50"/>
      <c r="B15" s="381"/>
      <c r="C15" s="97"/>
      <c r="D15" s="392"/>
      <c r="E15" s="392"/>
      <c r="F15" s="392"/>
      <c r="G15" s="393"/>
      <c r="H15" s="395"/>
      <c r="I15" s="395"/>
      <c r="J15" s="396"/>
      <c r="K15" s="396"/>
      <c r="L15" s="396"/>
      <c r="M15" s="359"/>
      <c r="N15" s="380"/>
    </row>
    <row r="16" ht="21.0" customHeight="1">
      <c r="A16" s="50"/>
      <c r="B16" s="375"/>
      <c r="C16" s="101"/>
      <c r="D16" s="388"/>
      <c r="E16" s="388"/>
      <c r="F16" s="388"/>
      <c r="G16" s="389"/>
      <c r="H16" s="390"/>
      <c r="I16" s="390"/>
      <c r="J16" s="391"/>
      <c r="K16" s="391"/>
      <c r="L16" s="391"/>
      <c r="M16" s="355"/>
      <c r="N16" s="380"/>
    </row>
    <row r="17" ht="21.0" customHeight="1">
      <c r="A17" s="50"/>
      <c r="B17" s="381"/>
      <c r="C17" s="97"/>
      <c r="D17" s="392"/>
      <c r="E17" s="392"/>
      <c r="F17" s="392"/>
      <c r="G17" s="393"/>
      <c r="H17" s="395"/>
      <c r="I17" s="395"/>
      <c r="J17" s="396"/>
      <c r="K17" s="396"/>
      <c r="L17" s="396"/>
      <c r="M17" s="359"/>
      <c r="N17" s="380"/>
    </row>
  </sheetData>
  <mergeCells count="1">
    <mergeCell ref="A1:N1"/>
  </mergeCells>
  <hyperlinks>
    <hyperlink r:id="rId1" ref="F6"/>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89F38"/>
    <outlinePr summaryBelow="0" summaryRight="0"/>
  </sheetPr>
  <sheetViews>
    <sheetView showGridLines="0" workbookViewId="0"/>
  </sheetViews>
  <sheetFormatPr customHeight="1" defaultColWidth="12.63" defaultRowHeight="15.75"/>
  <cols>
    <col customWidth="1" min="1" max="1" width="5.13"/>
    <col customWidth="1" min="2" max="2" width="20.13"/>
    <col customWidth="1" min="3" max="3" width="11.38"/>
    <col customWidth="1" min="4" max="4" width="19.5"/>
    <col customWidth="1" min="5" max="5" width="13.25"/>
    <col customWidth="1" min="6" max="6" width="11.5"/>
    <col customWidth="1" min="7" max="7" width="6.5"/>
    <col customWidth="1" min="8" max="8" width="7.63"/>
    <col customWidth="1" min="9" max="9" width="8.38"/>
    <col customWidth="1" min="10" max="10" width="1.13"/>
    <col customWidth="1" min="11" max="11" width="13.75"/>
    <col customWidth="1" min="12" max="12" width="12.25"/>
    <col customWidth="1" min="13" max="13" width="1.13"/>
    <col customWidth="1" min="14" max="14" width="13.5"/>
    <col customWidth="1" min="15" max="15" width="8.38"/>
    <col customWidth="1" min="16" max="16" width="1.13"/>
    <col customWidth="1" min="17" max="17" width="31.88"/>
    <col customWidth="1" min="18" max="18" width="5.13"/>
  </cols>
  <sheetData>
    <row r="1" ht="6.0" customHeight="1">
      <c r="A1" s="397"/>
    </row>
    <row r="2" ht="66.0" customHeight="1">
      <c r="A2" s="45"/>
      <c r="B2" s="398" t="s">
        <v>8</v>
      </c>
      <c r="E2" s="399"/>
      <c r="F2" s="399"/>
      <c r="G2" s="399"/>
      <c r="H2" s="260" t="s">
        <v>206</v>
      </c>
      <c r="R2" s="45"/>
    </row>
    <row r="3" ht="18.0" customHeight="1">
      <c r="A3" s="49"/>
      <c r="B3" s="400" t="s">
        <v>207</v>
      </c>
      <c r="C3" s="221">
        <v>1.0</v>
      </c>
      <c r="D3" s="401" t="s">
        <v>208</v>
      </c>
      <c r="E3" s="221">
        <v>3.0</v>
      </c>
      <c r="F3" s="402"/>
      <c r="G3" s="403"/>
      <c r="H3" s="403"/>
      <c r="I3" s="403"/>
      <c r="J3" s="403"/>
      <c r="K3" s="403"/>
      <c r="L3" s="403"/>
      <c r="M3" s="403"/>
      <c r="N3" s="403"/>
      <c r="O3" s="403"/>
      <c r="P3" s="403"/>
      <c r="Q3" s="403"/>
      <c r="R3" s="49"/>
    </row>
    <row r="4" ht="18.0" customHeight="1">
      <c r="A4" s="49"/>
      <c r="B4" s="400" t="s">
        <v>209</v>
      </c>
      <c r="C4" s="221">
        <v>5.0</v>
      </c>
      <c r="D4" s="404"/>
      <c r="E4" s="405"/>
      <c r="F4" s="402"/>
      <c r="G4" s="403"/>
      <c r="H4" s="403"/>
      <c r="I4" s="403"/>
      <c r="J4" s="403"/>
      <c r="K4" s="403"/>
      <c r="L4" s="403"/>
      <c r="M4" s="403"/>
      <c r="N4" s="403"/>
      <c r="O4" s="403"/>
      <c r="P4" s="403"/>
      <c r="Q4" s="403"/>
      <c r="R4" s="49"/>
    </row>
    <row r="5" ht="12.0" customHeight="1">
      <c r="A5" s="225"/>
      <c r="B5" s="337"/>
      <c r="C5" s="337"/>
      <c r="D5" s="337"/>
      <c r="E5" s="337"/>
      <c r="F5" s="337"/>
      <c r="G5" s="337"/>
      <c r="H5" s="337"/>
      <c r="I5" s="337"/>
      <c r="J5" s="337"/>
      <c r="K5" s="337"/>
      <c r="L5" s="337"/>
      <c r="M5" s="337"/>
      <c r="N5" s="337"/>
      <c r="O5" s="337"/>
      <c r="P5" s="337"/>
      <c r="Q5" s="337"/>
      <c r="R5" s="225"/>
    </row>
    <row r="6" ht="18.75" customHeight="1">
      <c r="A6" s="406"/>
      <c r="B6" s="407"/>
      <c r="C6" s="407"/>
      <c r="D6" s="407"/>
      <c r="E6" s="407"/>
      <c r="F6" s="407"/>
      <c r="G6" s="408" t="s">
        <v>210</v>
      </c>
      <c r="K6" s="408" t="s">
        <v>211</v>
      </c>
      <c r="N6" s="409"/>
      <c r="O6" s="409"/>
      <c r="P6" s="409"/>
      <c r="Q6" s="410"/>
      <c r="R6" s="406"/>
    </row>
    <row r="7" ht="20.25" customHeight="1">
      <c r="A7" s="411"/>
      <c r="B7" s="412" t="s">
        <v>54</v>
      </c>
      <c r="C7" s="412" t="s">
        <v>56</v>
      </c>
      <c r="D7" s="413" t="s">
        <v>57</v>
      </c>
      <c r="E7" s="413" t="s">
        <v>58</v>
      </c>
      <c r="F7" s="412" t="s">
        <v>212</v>
      </c>
      <c r="G7" s="414" t="s">
        <v>213</v>
      </c>
      <c r="H7" s="415" t="s">
        <v>214</v>
      </c>
      <c r="I7" s="415" t="s">
        <v>215</v>
      </c>
      <c r="J7" s="416"/>
      <c r="K7" s="415" t="s">
        <v>214</v>
      </c>
      <c r="L7" s="415" t="s">
        <v>216</v>
      </c>
      <c r="M7" s="417"/>
      <c r="N7" s="418" t="s">
        <v>101</v>
      </c>
      <c r="O7" s="419" t="s">
        <v>158</v>
      </c>
      <c r="P7" s="419"/>
      <c r="Q7" s="420" t="s">
        <v>37</v>
      </c>
      <c r="R7" s="411"/>
    </row>
    <row r="8" ht="21.0" customHeight="1">
      <c r="A8" s="267"/>
      <c r="B8" s="421" t="s">
        <v>217</v>
      </c>
      <c r="C8" s="422" t="s">
        <v>62</v>
      </c>
      <c r="D8" s="423" t="s">
        <v>63</v>
      </c>
      <c r="E8" s="424" t="s">
        <v>64</v>
      </c>
      <c r="F8" s="425" t="s">
        <v>218</v>
      </c>
      <c r="G8" s="426">
        <v>0.0</v>
      </c>
      <c r="H8" s="427">
        <v>0.0</v>
      </c>
      <c r="I8" s="428">
        <f>if(isblank(H8), "",(H8+G8)*'Cabelo e maquiagem'!Brides)</f>
        <v>0</v>
      </c>
      <c r="J8" s="429"/>
      <c r="K8" s="427">
        <v>0.0</v>
      </c>
      <c r="L8" s="428">
        <f>if(isblank(K8), "", K8*('Cabelo e maquiagem'!AdditionalPeople))</f>
        <v>0</v>
      </c>
      <c r="M8" s="430"/>
      <c r="N8" s="431">
        <v>0.0</v>
      </c>
      <c r="O8" s="432">
        <f t="shared" ref="O8:O15" si="1">if(isblank(B8),"",sum(I8,L8,N8))</f>
        <v>0</v>
      </c>
      <c r="P8" s="433"/>
      <c r="Q8" s="434" t="s">
        <v>37</v>
      </c>
      <c r="R8" s="277"/>
    </row>
    <row r="9" ht="21.0" customHeight="1">
      <c r="A9" s="267"/>
      <c r="B9" s="421"/>
      <c r="C9" s="422"/>
      <c r="D9" s="423"/>
      <c r="E9" s="435"/>
      <c r="F9" s="425"/>
      <c r="G9" s="426"/>
      <c r="H9" s="427"/>
      <c r="I9" s="428" t="str">
        <f>if(isblank(H9), "",(H9+G9)*'Cabelo e maquiagem'!Brides)</f>
        <v/>
      </c>
      <c r="J9" s="429"/>
      <c r="K9" s="427"/>
      <c r="L9" s="428" t="str">
        <f>if(isblank(K9), "", K9*('Cabelo e maquiagem'!AdditionalPeople))</f>
        <v/>
      </c>
      <c r="M9" s="430"/>
      <c r="N9" s="431"/>
      <c r="O9" s="432" t="str">
        <f t="shared" si="1"/>
        <v/>
      </c>
      <c r="P9" s="433"/>
      <c r="Q9" s="434"/>
      <c r="R9" s="277"/>
    </row>
    <row r="10" ht="21.0" customHeight="1">
      <c r="A10" s="267"/>
      <c r="B10" s="421"/>
      <c r="C10" s="422"/>
      <c r="D10" s="423"/>
      <c r="E10" s="435"/>
      <c r="F10" s="425"/>
      <c r="G10" s="426"/>
      <c r="H10" s="427"/>
      <c r="I10" s="428" t="str">
        <f>if(isblank(H10), "",(H10+G10)*'Cabelo e maquiagem'!Brides)</f>
        <v/>
      </c>
      <c r="J10" s="429"/>
      <c r="K10" s="427"/>
      <c r="L10" s="428" t="str">
        <f>if(isblank(K10), "", K10*('Cabelo e maquiagem'!AdditionalPeople))</f>
        <v/>
      </c>
      <c r="M10" s="430"/>
      <c r="N10" s="431"/>
      <c r="O10" s="432" t="str">
        <f t="shared" si="1"/>
        <v/>
      </c>
      <c r="P10" s="433"/>
      <c r="Q10" s="434"/>
      <c r="R10" s="277"/>
    </row>
    <row r="11" ht="21.0" customHeight="1">
      <c r="A11" s="267"/>
      <c r="B11" s="421"/>
      <c r="C11" s="422"/>
      <c r="D11" s="423"/>
      <c r="E11" s="435"/>
      <c r="F11" s="425"/>
      <c r="G11" s="426"/>
      <c r="H11" s="427"/>
      <c r="I11" s="428" t="str">
        <f>if(isblank(H11), "",(H11+G11)*'Cabelo e maquiagem'!Brides)</f>
        <v/>
      </c>
      <c r="J11" s="429"/>
      <c r="K11" s="427"/>
      <c r="L11" s="428" t="str">
        <f>if(isblank(K11), "", K11*('Cabelo e maquiagem'!AdditionalPeople))</f>
        <v/>
      </c>
      <c r="M11" s="430"/>
      <c r="N11" s="431"/>
      <c r="O11" s="432" t="str">
        <f t="shared" si="1"/>
        <v/>
      </c>
      <c r="P11" s="433"/>
      <c r="Q11" s="434"/>
      <c r="R11" s="277"/>
    </row>
    <row r="12" ht="21.0" customHeight="1">
      <c r="A12" s="267"/>
      <c r="B12" s="421"/>
      <c r="C12" s="422"/>
      <c r="D12" s="423"/>
      <c r="E12" s="435"/>
      <c r="F12" s="425"/>
      <c r="G12" s="426"/>
      <c r="H12" s="427"/>
      <c r="I12" s="428" t="str">
        <f>if(isblank(H12), "",(H12+G12)*'Cabelo e maquiagem'!Brides)</f>
        <v/>
      </c>
      <c r="J12" s="429"/>
      <c r="K12" s="427"/>
      <c r="L12" s="428" t="str">
        <f>if(isblank(K12), "", K12*('Cabelo e maquiagem'!AdditionalPeople))</f>
        <v/>
      </c>
      <c r="M12" s="430"/>
      <c r="N12" s="431"/>
      <c r="O12" s="432" t="str">
        <f t="shared" si="1"/>
        <v/>
      </c>
      <c r="P12" s="433"/>
      <c r="Q12" s="434"/>
      <c r="R12" s="277"/>
    </row>
    <row r="13" ht="21.0" customHeight="1">
      <c r="A13" s="267"/>
      <c r="B13" s="421"/>
      <c r="C13" s="422"/>
      <c r="D13" s="423"/>
      <c r="E13" s="435"/>
      <c r="F13" s="425"/>
      <c r="G13" s="426"/>
      <c r="H13" s="427"/>
      <c r="I13" s="428" t="str">
        <f>if(isblank(H13), "",(H13+G13)*'Cabelo e maquiagem'!Brides)</f>
        <v/>
      </c>
      <c r="J13" s="429"/>
      <c r="K13" s="427"/>
      <c r="L13" s="428" t="str">
        <f>if(isblank(K13), "", K13*('Cabelo e maquiagem'!AdditionalPeople))</f>
        <v/>
      </c>
      <c r="M13" s="430"/>
      <c r="N13" s="431"/>
      <c r="O13" s="432" t="str">
        <f t="shared" si="1"/>
        <v/>
      </c>
      <c r="P13" s="433"/>
      <c r="Q13" s="434"/>
      <c r="R13" s="277"/>
    </row>
    <row r="14" ht="21.0" customHeight="1">
      <c r="A14" s="267"/>
      <c r="B14" s="421"/>
      <c r="C14" s="422"/>
      <c r="D14" s="423"/>
      <c r="E14" s="435"/>
      <c r="F14" s="425"/>
      <c r="G14" s="426"/>
      <c r="H14" s="427"/>
      <c r="I14" s="428" t="str">
        <f>if(isblank(H14), "",(H14+G14)*'Cabelo e maquiagem'!Brides)</f>
        <v/>
      </c>
      <c r="J14" s="429"/>
      <c r="K14" s="427"/>
      <c r="L14" s="428" t="str">
        <f>if(isblank(K14), "", K14*('Cabelo e maquiagem'!AdditionalPeople))</f>
        <v/>
      </c>
      <c r="M14" s="430"/>
      <c r="N14" s="431"/>
      <c r="O14" s="432" t="str">
        <f t="shared" si="1"/>
        <v/>
      </c>
      <c r="P14" s="433"/>
      <c r="Q14" s="434"/>
      <c r="R14" s="277"/>
    </row>
    <row r="15" ht="21.0" customHeight="1">
      <c r="A15" s="267"/>
      <c r="B15" s="421"/>
      <c r="C15" s="422"/>
      <c r="D15" s="423"/>
      <c r="E15" s="435"/>
      <c r="F15" s="425"/>
      <c r="G15" s="426"/>
      <c r="H15" s="427"/>
      <c r="I15" s="428" t="str">
        <f>if(isblank(H15), "",(H15+G15)*'Cabelo e maquiagem'!Brides)</f>
        <v/>
      </c>
      <c r="J15" s="429"/>
      <c r="K15" s="427"/>
      <c r="L15" s="428" t="str">
        <f>if(isblank(K15), "", K15*('Cabelo e maquiagem'!AdditionalPeople))</f>
        <v/>
      </c>
      <c r="M15" s="430"/>
      <c r="N15" s="431"/>
      <c r="O15" s="432" t="str">
        <f t="shared" si="1"/>
        <v/>
      </c>
      <c r="P15" s="433"/>
      <c r="Q15" s="434"/>
      <c r="R15" s="277"/>
    </row>
    <row r="16" ht="21.0" customHeight="1">
      <c r="A16" s="267"/>
      <c r="B16" s="436"/>
      <c r="C16" s="437"/>
      <c r="D16" s="438"/>
      <c r="E16" s="438"/>
      <c r="F16" s="439"/>
      <c r="G16" s="440"/>
      <c r="H16" s="440"/>
      <c r="I16" s="441" t="str">
        <f>if(isblank(H16), "",(H16+G16)*'Cabelo e maquiagem'!Brides)</f>
        <v/>
      </c>
      <c r="J16" s="442"/>
      <c r="K16" s="443"/>
      <c r="L16" s="444" t="str">
        <f>if(isblank(K16), "", K16*('Cabelo e maquiagem'!AdditionalPeople))</f>
        <v/>
      </c>
      <c r="M16" s="441"/>
      <c r="N16" s="445"/>
      <c r="O16" s="446" t="str">
        <f>if(isblank(H16),"",sum(G16,H16,(K16*'Cabelo e maquiagem'!AdditionalPeople),N16))</f>
        <v/>
      </c>
      <c r="P16" s="447"/>
      <c r="Q16" s="448"/>
      <c r="R16" s="277"/>
    </row>
    <row r="17" ht="18.75" customHeight="1">
      <c r="A17" s="406"/>
      <c r="B17" s="407"/>
      <c r="C17" s="407"/>
      <c r="D17" s="407"/>
      <c r="E17" s="407"/>
      <c r="F17" s="407"/>
      <c r="G17" s="408" t="s">
        <v>219</v>
      </c>
      <c r="K17" s="408" t="s">
        <v>220</v>
      </c>
      <c r="N17" s="409"/>
      <c r="O17" s="409"/>
      <c r="P17" s="409"/>
      <c r="Q17" s="449"/>
      <c r="R17" s="406"/>
    </row>
    <row r="18" ht="20.25" customHeight="1">
      <c r="A18" s="411"/>
      <c r="B18" s="412" t="s">
        <v>54</v>
      </c>
      <c r="C18" s="412" t="s">
        <v>56</v>
      </c>
      <c r="D18" s="413" t="s">
        <v>57</v>
      </c>
      <c r="E18" s="413" t="s">
        <v>58</v>
      </c>
      <c r="F18" s="412" t="s">
        <v>212</v>
      </c>
      <c r="G18" s="414" t="s">
        <v>213</v>
      </c>
      <c r="H18" s="415" t="s">
        <v>214</v>
      </c>
      <c r="I18" s="415" t="s">
        <v>215</v>
      </c>
      <c r="J18" s="450"/>
      <c r="K18" s="415" t="s">
        <v>214</v>
      </c>
      <c r="L18" s="415" t="s">
        <v>216</v>
      </c>
      <c r="M18" s="451"/>
      <c r="N18" s="452" t="s">
        <v>101</v>
      </c>
      <c r="O18" s="452" t="s">
        <v>158</v>
      </c>
      <c r="P18" s="452"/>
      <c r="Q18" s="453" t="s">
        <v>37</v>
      </c>
      <c r="R18" s="411"/>
    </row>
    <row r="19" ht="21.0" customHeight="1">
      <c r="A19" s="267"/>
      <c r="B19" s="454" t="s">
        <v>221</v>
      </c>
      <c r="C19" s="422" t="s">
        <v>62</v>
      </c>
      <c r="D19" s="455" t="s">
        <v>63</v>
      </c>
      <c r="E19" s="456" t="s">
        <v>64</v>
      </c>
      <c r="F19" s="457" t="s">
        <v>222</v>
      </c>
      <c r="G19" s="458">
        <v>0.0</v>
      </c>
      <c r="H19" s="459">
        <v>0.0</v>
      </c>
      <c r="I19" s="460">
        <f>if(isblank(H19), "",(H19+G19)*'Cabelo e maquiagem'!Brides)</f>
        <v>0</v>
      </c>
      <c r="J19" s="461"/>
      <c r="K19" s="459">
        <v>0.0</v>
      </c>
      <c r="L19" s="460">
        <f>if(isblank(K19), "", if(F19 = "Per person", K19*'Cabelo e maquiagem'!AdditionalPeople, if(F19 = "Por hora", K19*'Cabelo e maquiagem'!HairHours, "")))</f>
        <v>0</v>
      </c>
      <c r="M19" s="461"/>
      <c r="N19" s="462">
        <v>0.0</v>
      </c>
      <c r="O19" s="463">
        <f t="shared" ref="O19:O24" si="2">if(isblank(B19),"",sum(I19,L19,N19))</f>
        <v>0</v>
      </c>
      <c r="P19" s="464"/>
      <c r="Q19" s="465" t="s">
        <v>37</v>
      </c>
      <c r="R19" s="277"/>
    </row>
    <row r="20" ht="21.0" customHeight="1">
      <c r="A20" s="267"/>
      <c r="B20" s="454"/>
      <c r="C20" s="422"/>
      <c r="D20" s="455"/>
      <c r="E20" s="455"/>
      <c r="F20" s="457"/>
      <c r="G20" s="458"/>
      <c r="H20" s="459"/>
      <c r="I20" s="460" t="str">
        <f>if(isblank(H20), "",(H20+G20)*'Cabelo e maquiagem'!Brides)</f>
        <v/>
      </c>
      <c r="J20" s="461"/>
      <c r="K20" s="459"/>
      <c r="L20" s="460" t="str">
        <f>if(isblank(K20), "", if(F20 = "Per person", K20*'Cabelo e maquiagem'!AdditionalPeople, if(F20 = "Por hora", K20*'Cabelo e maquiagem'!HairHours, "")))</f>
        <v/>
      </c>
      <c r="M20" s="461"/>
      <c r="N20" s="462"/>
      <c r="O20" s="463" t="str">
        <f t="shared" si="2"/>
        <v/>
      </c>
      <c r="P20" s="464"/>
      <c r="Q20" s="465"/>
      <c r="R20" s="277"/>
    </row>
    <row r="21" ht="21.0" customHeight="1">
      <c r="A21" s="267"/>
      <c r="B21" s="454"/>
      <c r="C21" s="422"/>
      <c r="D21" s="455"/>
      <c r="E21" s="455"/>
      <c r="F21" s="457"/>
      <c r="G21" s="458"/>
      <c r="H21" s="459"/>
      <c r="I21" s="460" t="str">
        <f>if(isblank(H21), "",(H21+G21)*'Cabelo e maquiagem'!Brides)</f>
        <v/>
      </c>
      <c r="J21" s="461"/>
      <c r="K21" s="459"/>
      <c r="L21" s="460" t="str">
        <f>if(isblank(K21), "", if(F21 = "Per person", K21*'Cabelo e maquiagem'!AdditionalPeople, if(F21 = "Por hora", K21*'Cabelo e maquiagem'!HairHours, "")))</f>
        <v/>
      </c>
      <c r="M21" s="461"/>
      <c r="N21" s="462"/>
      <c r="O21" s="463" t="str">
        <f t="shared" si="2"/>
        <v/>
      </c>
      <c r="P21" s="464"/>
      <c r="Q21" s="465"/>
      <c r="R21" s="277"/>
    </row>
    <row r="22" ht="21.0" customHeight="1">
      <c r="A22" s="267"/>
      <c r="B22" s="454"/>
      <c r="C22" s="422"/>
      <c r="D22" s="455"/>
      <c r="E22" s="455"/>
      <c r="F22" s="457"/>
      <c r="G22" s="458"/>
      <c r="H22" s="459"/>
      <c r="I22" s="460" t="str">
        <f>if(isblank(H22), "",(H22+G22)*'Cabelo e maquiagem'!Brides)</f>
        <v/>
      </c>
      <c r="J22" s="461"/>
      <c r="K22" s="459"/>
      <c r="L22" s="460" t="str">
        <f>if(isblank(K22), "", if(F22 = "Per person", K22*'Cabelo e maquiagem'!AdditionalPeople, if(F22 = "Por hora", K22*'Cabelo e maquiagem'!HairHours, "")))</f>
        <v/>
      </c>
      <c r="M22" s="461"/>
      <c r="N22" s="462"/>
      <c r="O22" s="463" t="str">
        <f t="shared" si="2"/>
        <v/>
      </c>
      <c r="P22" s="464"/>
      <c r="Q22" s="465"/>
      <c r="R22" s="277"/>
    </row>
    <row r="23" ht="21.0" customHeight="1">
      <c r="A23" s="267"/>
      <c r="B23" s="454"/>
      <c r="C23" s="422"/>
      <c r="D23" s="455"/>
      <c r="E23" s="455"/>
      <c r="F23" s="457"/>
      <c r="G23" s="458"/>
      <c r="H23" s="459"/>
      <c r="I23" s="460" t="str">
        <f>if(isblank(H23), "",(H23+G23)*'Cabelo e maquiagem'!Brides)</f>
        <v/>
      </c>
      <c r="J23" s="461"/>
      <c r="K23" s="459"/>
      <c r="L23" s="460" t="str">
        <f>if(isblank(K23), "", if(F23 = "Per person", K23*'Cabelo e maquiagem'!AdditionalPeople, if(F23 = "Por hora", K23*'Cabelo e maquiagem'!HairHours, "")))</f>
        <v/>
      </c>
      <c r="M23" s="461"/>
      <c r="N23" s="462"/>
      <c r="O23" s="463" t="str">
        <f t="shared" si="2"/>
        <v/>
      </c>
      <c r="P23" s="464"/>
      <c r="Q23" s="465"/>
      <c r="R23" s="277"/>
    </row>
    <row r="24" ht="21.0" customHeight="1">
      <c r="A24" s="267"/>
      <c r="B24" s="466"/>
      <c r="C24" s="467"/>
      <c r="D24" s="468"/>
      <c r="E24" s="468"/>
      <c r="F24" s="294"/>
      <c r="G24" s="469"/>
      <c r="H24" s="470"/>
      <c r="I24" s="471" t="str">
        <f>if(isblank(H24), "",(H24+G24)*'Cabelo e maquiagem'!Brides)</f>
        <v/>
      </c>
      <c r="J24" s="472"/>
      <c r="K24" s="470"/>
      <c r="L24" s="460" t="str">
        <f>if(isblank(K24), "", if(F24 = "Per person", K24*'Cabelo e maquiagem'!AdditionalPeople, if(F24 = "Por hora", K24*'Cabelo e maquiagem'!HairHours, "")))</f>
        <v/>
      </c>
      <c r="M24" s="472"/>
      <c r="N24" s="473"/>
      <c r="O24" s="463" t="str">
        <f t="shared" si="2"/>
        <v/>
      </c>
      <c r="P24" s="474"/>
      <c r="Q24" s="475"/>
      <c r="R24" s="277"/>
    </row>
  </sheetData>
  <mergeCells count="7">
    <mergeCell ref="A1:R1"/>
    <mergeCell ref="B2:D2"/>
    <mergeCell ref="H2:Q2"/>
    <mergeCell ref="G6:J6"/>
    <mergeCell ref="K6:M6"/>
    <mergeCell ref="G17:J17"/>
    <mergeCell ref="K17:M17"/>
  </mergeCells>
  <dataValidations>
    <dataValidation type="list" allowBlank="1" sqref="F19:F24">
      <formula1>"Por pessoa,Por hora"</formula1>
    </dataValidation>
  </dataValidations>
  <hyperlinks>
    <hyperlink r:id="rId1" ref="E8"/>
    <hyperlink r:id="rId2" ref="E19"/>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89F38"/>
    <outlinePr summaryBelow="0" summaryRight="0"/>
  </sheetPr>
  <sheetViews>
    <sheetView showGridLines="0" workbookViewId="0"/>
  </sheetViews>
  <sheetFormatPr customHeight="1" defaultColWidth="12.63" defaultRowHeight="15.75"/>
  <cols>
    <col customWidth="1" min="1" max="1" width="5.13"/>
    <col customWidth="1" min="2" max="2" width="20.13"/>
    <col customWidth="1" min="3" max="3" width="11.38"/>
    <col customWidth="1" min="4" max="4" width="15.25"/>
    <col customWidth="1" min="5" max="5" width="13.25"/>
    <col customWidth="1" min="6" max="7" width="13.75"/>
    <col customWidth="1" min="8" max="9" width="12.38"/>
    <col customWidth="1" min="10" max="10" width="11.5"/>
    <col customWidth="1" min="11" max="11" width="31.88"/>
    <col customWidth="1" min="12" max="12" width="5.13"/>
  </cols>
  <sheetData>
    <row r="1" ht="6.0" customHeight="1">
      <c r="A1" s="397"/>
      <c r="B1" s="397"/>
      <c r="C1" s="397"/>
      <c r="D1" s="397"/>
      <c r="E1" s="397"/>
      <c r="F1" s="397"/>
      <c r="G1" s="397"/>
      <c r="H1" s="397"/>
      <c r="I1" s="397"/>
      <c r="J1" s="397"/>
      <c r="K1" s="397"/>
      <c r="L1" s="397"/>
    </row>
    <row r="2" ht="66.0" customHeight="1">
      <c r="A2" s="45"/>
      <c r="B2" s="398" t="s">
        <v>10</v>
      </c>
      <c r="C2" s="399"/>
      <c r="D2" s="399"/>
      <c r="E2" s="399"/>
      <c r="F2" s="399"/>
      <c r="G2" s="399"/>
      <c r="H2" s="399"/>
      <c r="I2" s="334" t="s">
        <v>223</v>
      </c>
      <c r="L2" s="45"/>
    </row>
    <row r="3" ht="18.0" customHeight="1">
      <c r="A3" s="49"/>
      <c r="B3" s="400" t="s">
        <v>224</v>
      </c>
      <c r="C3" s="405">
        <v>5.0</v>
      </c>
      <c r="D3" s="267"/>
      <c r="E3" s="402"/>
      <c r="F3" s="402"/>
      <c r="G3" s="402"/>
      <c r="H3" s="402"/>
      <c r="I3" s="402"/>
      <c r="J3" s="402"/>
      <c r="K3" s="402"/>
      <c r="L3" s="49"/>
    </row>
    <row r="4" ht="18.0" customHeight="1">
      <c r="A4" s="49"/>
      <c r="B4" s="400" t="s">
        <v>225</v>
      </c>
      <c r="C4" s="405">
        <v>14.0</v>
      </c>
      <c r="D4" s="267"/>
      <c r="E4" s="402"/>
      <c r="F4" s="402"/>
      <c r="G4" s="402"/>
      <c r="H4" s="402"/>
      <c r="I4" s="402"/>
      <c r="J4" s="402"/>
      <c r="K4" s="402"/>
      <c r="L4" s="49"/>
    </row>
    <row r="5" ht="12.0" customHeight="1">
      <c r="A5" s="45"/>
      <c r="B5" s="335"/>
      <c r="C5" s="335"/>
      <c r="D5" s="335"/>
      <c r="E5" s="335"/>
      <c r="F5" s="335"/>
      <c r="G5" s="335"/>
      <c r="H5" s="335"/>
      <c r="I5" s="335"/>
      <c r="J5" s="335"/>
      <c r="K5" s="335"/>
      <c r="L5" s="45"/>
    </row>
    <row r="6" ht="12.0" customHeight="1">
      <c r="A6" s="225"/>
      <c r="B6" s="337"/>
      <c r="C6" s="337"/>
      <c r="D6" s="337"/>
      <c r="E6" s="337"/>
      <c r="F6" s="337"/>
      <c r="G6" s="337"/>
      <c r="H6" s="337"/>
      <c r="I6" s="337"/>
      <c r="J6" s="337"/>
      <c r="K6" s="337"/>
      <c r="L6" s="225"/>
    </row>
    <row r="7" ht="24.0" customHeight="1">
      <c r="A7" s="227"/>
      <c r="B7" s="476" t="s">
        <v>54</v>
      </c>
      <c r="C7" s="476" t="s">
        <v>56</v>
      </c>
      <c r="D7" s="476" t="s">
        <v>57</v>
      </c>
      <c r="E7" s="476" t="s">
        <v>58</v>
      </c>
      <c r="F7" s="476" t="s">
        <v>226</v>
      </c>
      <c r="G7" s="476" t="s">
        <v>227</v>
      </c>
      <c r="H7" s="476" t="s">
        <v>228</v>
      </c>
      <c r="I7" s="476" t="s">
        <v>229</v>
      </c>
      <c r="J7" s="476" t="s">
        <v>152</v>
      </c>
      <c r="K7" s="477" t="s">
        <v>37</v>
      </c>
      <c r="L7" s="227"/>
    </row>
    <row r="8" ht="21.0" customHeight="1">
      <c r="A8" s="267"/>
      <c r="B8" s="342" t="s">
        <v>230</v>
      </c>
      <c r="C8" s="233" t="s">
        <v>62</v>
      </c>
      <c r="D8" s="233" t="s">
        <v>63</v>
      </c>
      <c r="E8" s="234" t="s">
        <v>64</v>
      </c>
      <c r="F8" s="478">
        <v>0.0</v>
      </c>
      <c r="G8" s="479">
        <v>0.0</v>
      </c>
      <c r="H8" s="479">
        <v>0.0</v>
      </c>
      <c r="I8" s="480">
        <v>0.0</v>
      </c>
      <c r="J8" s="481">
        <f>if(isblank(B8), "", sum(F8,(Flores!TotalBouquets*G8),(Flores!TotalBoutineers*H8),I8))</f>
        <v>0</v>
      </c>
      <c r="K8" s="346" t="s">
        <v>231</v>
      </c>
      <c r="L8" s="277"/>
    </row>
    <row r="9" ht="21.0" customHeight="1">
      <c r="A9" s="267"/>
      <c r="B9" s="347"/>
      <c r="C9" s="241"/>
      <c r="D9" s="241"/>
      <c r="E9" s="241"/>
      <c r="F9" s="349"/>
      <c r="G9" s="348"/>
      <c r="H9" s="348"/>
      <c r="I9" s="482"/>
      <c r="J9" s="483" t="str">
        <f>if(isblank(B9), "", sum(F9,(Flores!TotalBouquets*G9),(Flores!TotalBoutineers*H9),I9))</f>
        <v/>
      </c>
      <c r="K9" s="362"/>
      <c r="L9" s="277"/>
    </row>
    <row r="10" ht="21.0" customHeight="1">
      <c r="A10" s="267"/>
      <c r="B10" s="342"/>
      <c r="C10" s="251"/>
      <c r="D10" s="233"/>
      <c r="E10" s="252"/>
      <c r="F10" s="353"/>
      <c r="G10" s="352"/>
      <c r="H10" s="352"/>
      <c r="I10" s="484"/>
      <c r="J10" s="485" t="str">
        <f>if(isblank(B10), "", sum(F10,(Flores!TotalBouquets*G10),(Flores!TotalBoutineers*H10),I10))</f>
        <v/>
      </c>
      <c r="K10" s="355"/>
      <c r="L10" s="277"/>
    </row>
    <row r="11" ht="21.0" customHeight="1">
      <c r="A11" s="267"/>
      <c r="B11" s="347"/>
      <c r="C11" s="247"/>
      <c r="D11" s="248"/>
      <c r="E11" s="248"/>
      <c r="F11" s="357"/>
      <c r="G11" s="356"/>
      <c r="H11" s="356"/>
      <c r="I11" s="486"/>
      <c r="J11" s="483" t="str">
        <f>if(isblank(B11), "", sum(F11,(Flores!TotalBouquets*G11),(Flores!TotalBoutineers*H11),I11))</f>
        <v/>
      </c>
      <c r="K11" s="359"/>
      <c r="L11" s="277"/>
    </row>
    <row r="12" ht="21.0" customHeight="1">
      <c r="A12" s="267"/>
      <c r="B12" s="342"/>
      <c r="C12" s="251"/>
      <c r="D12" s="252"/>
      <c r="E12" s="252"/>
      <c r="F12" s="353"/>
      <c r="G12" s="352"/>
      <c r="H12" s="352"/>
      <c r="I12" s="484"/>
      <c r="J12" s="485" t="str">
        <f>if(isblank(B12), "", sum(F12,(Flores!TotalBouquets*G12),(Flores!TotalBoutineers*H12),I12))</f>
        <v/>
      </c>
      <c r="K12" s="355"/>
      <c r="L12" s="277"/>
    </row>
    <row r="13" ht="21.0" customHeight="1">
      <c r="A13" s="267"/>
      <c r="B13" s="347"/>
      <c r="C13" s="247"/>
      <c r="D13" s="248"/>
      <c r="E13" s="248"/>
      <c r="F13" s="357"/>
      <c r="G13" s="356"/>
      <c r="H13" s="356"/>
      <c r="I13" s="486"/>
      <c r="J13" s="483" t="str">
        <f>if(isblank(B13), "", sum(F13,(Flores!TotalBouquets*G13),(Flores!TotalBoutineers*H13),I13))</f>
        <v/>
      </c>
      <c r="K13" s="359"/>
      <c r="L13" s="277"/>
    </row>
    <row r="14" ht="21.0" customHeight="1">
      <c r="A14" s="267"/>
      <c r="B14" s="342"/>
      <c r="C14" s="251"/>
      <c r="D14" s="252"/>
      <c r="E14" s="252"/>
      <c r="F14" s="353"/>
      <c r="G14" s="352"/>
      <c r="H14" s="352"/>
      <c r="I14" s="484"/>
      <c r="J14" s="485" t="str">
        <f>if(isblank(B14), "", sum(F14,(Flores!TotalBouquets*G14),(Flores!TotalBoutineers*H14),I14))</f>
        <v/>
      </c>
      <c r="K14" s="355"/>
      <c r="L14" s="277"/>
    </row>
    <row r="15" ht="21.0" customHeight="1">
      <c r="A15" s="267"/>
      <c r="B15" s="347"/>
      <c r="C15" s="247"/>
      <c r="D15" s="248"/>
      <c r="E15" s="248"/>
      <c r="F15" s="357"/>
      <c r="G15" s="356"/>
      <c r="H15" s="356"/>
      <c r="I15" s="486"/>
      <c r="J15" s="483" t="str">
        <f>if(isblank(B15), "", sum(F15,(Flores!TotalBouquets*G15),(Flores!TotalBoutineers*H15),I15))</f>
        <v/>
      </c>
      <c r="K15" s="359"/>
      <c r="L15" s="277"/>
    </row>
    <row r="16" ht="21.0" customHeight="1">
      <c r="A16" s="267"/>
      <c r="B16" s="360"/>
      <c r="C16" s="256"/>
      <c r="D16" s="252"/>
      <c r="E16" s="252"/>
      <c r="F16" s="353"/>
      <c r="G16" s="352"/>
      <c r="H16" s="352"/>
      <c r="I16" s="484"/>
      <c r="J16" s="485" t="str">
        <f>if(isblank(B16), "", sum(F16,(Flores!TotalBouquets*G16),(Flores!TotalBoutineers*H16),I16))</f>
        <v/>
      </c>
      <c r="K16" s="355"/>
      <c r="L16" s="277"/>
    </row>
    <row r="17" ht="21.0" customHeight="1">
      <c r="A17" s="267"/>
      <c r="B17" s="363"/>
      <c r="C17" s="258"/>
      <c r="D17" s="248"/>
      <c r="E17" s="248"/>
      <c r="F17" s="357"/>
      <c r="G17" s="356"/>
      <c r="H17" s="356"/>
      <c r="I17" s="486"/>
      <c r="J17" s="483" t="str">
        <f>if(isblank(B17), "", sum(F17,(Flores!TotalBouquets*G17),(Flores!TotalBoutineers*H17),I17))</f>
        <v/>
      </c>
      <c r="K17" s="359"/>
      <c r="L17" s="277"/>
    </row>
    <row r="18" ht="21.0" customHeight="1">
      <c r="A18" s="267"/>
      <c r="B18" s="360"/>
      <c r="C18" s="256"/>
      <c r="D18" s="252"/>
      <c r="E18" s="252"/>
      <c r="F18" s="353"/>
      <c r="G18" s="352"/>
      <c r="H18" s="352"/>
      <c r="I18" s="484"/>
      <c r="J18" s="485" t="str">
        <f>if(isblank(B18), "", sum(F18,(Flores!TotalBouquets*G18),(Flores!TotalBoutineers*H18),I18))</f>
        <v/>
      </c>
      <c r="K18" s="355"/>
      <c r="L18" s="277"/>
    </row>
    <row r="19" ht="21.0" customHeight="1">
      <c r="A19" s="267"/>
      <c r="B19" s="363"/>
      <c r="C19" s="258"/>
      <c r="D19" s="248"/>
      <c r="E19" s="248"/>
      <c r="F19" s="357"/>
      <c r="G19" s="356"/>
      <c r="H19" s="356"/>
      <c r="I19" s="486"/>
      <c r="J19" s="483" t="str">
        <f>if(isblank(B19), "", sum(F19,(Flores!TotalBouquets*G19),(Flores!TotalBoutineers*H19),I19))</f>
        <v/>
      </c>
      <c r="K19" s="359"/>
      <c r="L19" s="277"/>
    </row>
  </sheetData>
  <mergeCells count="1">
    <mergeCell ref="I2:K2"/>
  </mergeCells>
  <hyperlinks>
    <hyperlink r:id="rId1" ref="E8"/>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89F38"/>
    <outlinePr summaryBelow="0" summaryRight="0"/>
  </sheetPr>
  <sheetViews>
    <sheetView showGridLines="0" workbookViewId="0"/>
  </sheetViews>
  <sheetFormatPr customHeight="1" defaultColWidth="12.63" defaultRowHeight="15.75"/>
  <cols>
    <col customWidth="1" min="1" max="1" width="5.13"/>
    <col customWidth="1" min="2" max="2" width="18.13"/>
    <col customWidth="1" min="3" max="3" width="20.5"/>
    <col customWidth="1" min="4" max="4" width="11.38"/>
    <col customWidth="1" min="5" max="5" width="15.13"/>
    <col customWidth="1" min="6" max="6" width="10.5"/>
    <col customWidth="1" min="7" max="7" width="18.13"/>
    <col customWidth="1" min="8" max="8" width="12.38"/>
    <col customWidth="1" min="9" max="9" width="31.88"/>
    <col customWidth="1" min="10" max="10" width="5.13"/>
  </cols>
  <sheetData>
    <row r="1" ht="6.0" customHeight="1">
      <c r="A1" s="52"/>
      <c r="B1" s="52"/>
      <c r="C1" s="52"/>
      <c r="D1" s="52"/>
      <c r="E1" s="52"/>
      <c r="F1" s="52"/>
      <c r="G1" s="487"/>
      <c r="H1" s="488"/>
      <c r="I1" s="397"/>
      <c r="J1" s="397"/>
    </row>
    <row r="2" ht="66.0" customHeight="1">
      <c r="A2" s="13"/>
      <c r="B2" s="53" t="s">
        <v>232</v>
      </c>
      <c r="C2" s="489"/>
      <c r="D2" s="13"/>
      <c r="E2" s="54"/>
      <c r="F2" s="13"/>
      <c r="G2" s="399"/>
      <c r="H2" s="490"/>
      <c r="I2" s="399"/>
      <c r="J2" s="45"/>
    </row>
    <row r="3" ht="12.0" customHeight="1">
      <c r="A3" s="45"/>
      <c r="B3" s="335"/>
      <c r="C3" s="335"/>
      <c r="D3" s="335"/>
      <c r="E3" s="491"/>
      <c r="F3" s="335"/>
      <c r="G3" s="492"/>
      <c r="H3" s="336"/>
      <c r="I3" s="335"/>
      <c r="J3" s="45"/>
    </row>
    <row r="4" ht="12.0" customHeight="1">
      <c r="A4" s="225"/>
      <c r="B4" s="337"/>
      <c r="C4" s="337"/>
      <c r="D4" s="337"/>
      <c r="E4" s="493"/>
      <c r="F4" s="337"/>
      <c r="G4" s="494"/>
      <c r="H4" s="338"/>
      <c r="I4" s="337"/>
      <c r="J4" s="225"/>
    </row>
    <row r="5" ht="24.0" customHeight="1">
      <c r="A5" s="225"/>
      <c r="B5" s="495" t="s">
        <v>233</v>
      </c>
      <c r="C5" s="495" t="s">
        <v>54</v>
      </c>
      <c r="D5" s="495" t="s">
        <v>56</v>
      </c>
      <c r="E5" s="496" t="s">
        <v>57</v>
      </c>
      <c r="F5" s="495" t="s">
        <v>58</v>
      </c>
      <c r="G5" s="497" t="s">
        <v>234</v>
      </c>
      <c r="H5" s="476" t="s">
        <v>152</v>
      </c>
      <c r="I5" s="498" t="s">
        <v>37</v>
      </c>
      <c r="J5" s="225"/>
    </row>
    <row r="6" ht="21.0" customHeight="1">
      <c r="A6" s="267"/>
      <c r="B6" s="499" t="s">
        <v>235</v>
      </c>
      <c r="C6" s="500" t="s">
        <v>236</v>
      </c>
      <c r="D6" s="233" t="s">
        <v>62</v>
      </c>
      <c r="E6" s="501" t="s">
        <v>63</v>
      </c>
      <c r="F6" s="502" t="s">
        <v>64</v>
      </c>
      <c r="G6" s="503" t="s">
        <v>237</v>
      </c>
      <c r="H6" s="504">
        <v>0.0</v>
      </c>
      <c r="I6" s="505" t="s">
        <v>238</v>
      </c>
      <c r="J6" s="277"/>
    </row>
    <row r="7" ht="21.0" customHeight="1">
      <c r="A7" s="267"/>
      <c r="B7" s="506"/>
      <c r="C7" s="507"/>
      <c r="D7" s="241"/>
      <c r="E7" s="508"/>
      <c r="F7" s="509"/>
      <c r="G7" s="510"/>
      <c r="H7" s="511"/>
      <c r="I7" s="512"/>
      <c r="J7" s="277"/>
    </row>
    <row r="8" ht="21.0" customHeight="1">
      <c r="A8" s="267"/>
      <c r="B8" s="499"/>
      <c r="C8" s="500"/>
      <c r="D8" s="233"/>
      <c r="E8" s="501"/>
      <c r="F8" s="513"/>
      <c r="G8" s="503"/>
      <c r="H8" s="504"/>
      <c r="I8" s="505"/>
      <c r="J8" s="277"/>
    </row>
    <row r="9" ht="21.0" customHeight="1">
      <c r="A9" s="267"/>
      <c r="B9" s="506"/>
      <c r="C9" s="507"/>
      <c r="D9" s="241"/>
      <c r="E9" s="508"/>
      <c r="F9" s="509"/>
      <c r="G9" s="510"/>
      <c r="H9" s="511"/>
      <c r="I9" s="512"/>
      <c r="J9" s="277"/>
    </row>
    <row r="10" ht="21.0" customHeight="1">
      <c r="A10" s="267"/>
      <c r="B10" s="499"/>
      <c r="C10" s="500"/>
      <c r="D10" s="233"/>
      <c r="E10" s="501"/>
      <c r="F10" s="513"/>
      <c r="G10" s="503"/>
      <c r="H10" s="504"/>
      <c r="I10" s="505"/>
      <c r="J10" s="277"/>
    </row>
    <row r="11" ht="21.0" customHeight="1">
      <c r="A11" s="267"/>
      <c r="B11" s="506"/>
      <c r="C11" s="507"/>
      <c r="D11" s="241"/>
      <c r="E11" s="508"/>
      <c r="F11" s="509"/>
      <c r="G11" s="510"/>
      <c r="H11" s="511"/>
      <c r="I11" s="512"/>
      <c r="J11" s="277"/>
    </row>
    <row r="12" ht="21.0" customHeight="1">
      <c r="A12" s="267"/>
      <c r="B12" s="499"/>
      <c r="C12" s="500"/>
      <c r="D12" s="233"/>
      <c r="E12" s="501"/>
      <c r="F12" s="513"/>
      <c r="G12" s="503"/>
      <c r="H12" s="504"/>
      <c r="I12" s="505"/>
      <c r="J12" s="277"/>
    </row>
    <row r="13" ht="21.0" customHeight="1">
      <c r="A13" s="267"/>
      <c r="B13" s="506"/>
      <c r="C13" s="507"/>
      <c r="D13" s="241"/>
      <c r="E13" s="508"/>
      <c r="F13" s="509"/>
      <c r="G13" s="510"/>
      <c r="H13" s="511"/>
      <c r="I13" s="512"/>
      <c r="J13" s="277"/>
    </row>
    <row r="14" ht="21.0" customHeight="1">
      <c r="A14" s="267"/>
      <c r="B14" s="499"/>
      <c r="C14" s="500"/>
      <c r="D14" s="233"/>
      <c r="E14" s="501"/>
      <c r="F14" s="513"/>
      <c r="G14" s="503"/>
      <c r="H14" s="504"/>
      <c r="I14" s="505"/>
      <c r="J14" s="277"/>
    </row>
    <row r="15" ht="21.0" customHeight="1">
      <c r="A15" s="267"/>
      <c r="B15" s="506"/>
      <c r="C15" s="507"/>
      <c r="D15" s="241"/>
      <c r="E15" s="508"/>
      <c r="F15" s="509"/>
      <c r="G15" s="510"/>
      <c r="H15" s="511"/>
      <c r="I15" s="512"/>
      <c r="J15" s="277"/>
    </row>
    <row r="16" ht="21.0" customHeight="1">
      <c r="A16" s="267"/>
      <c r="B16" s="499"/>
      <c r="C16" s="500"/>
      <c r="D16" s="233"/>
      <c r="E16" s="501"/>
      <c r="F16" s="513"/>
      <c r="G16" s="503"/>
      <c r="H16" s="504"/>
      <c r="I16" s="505"/>
      <c r="J16" s="277"/>
    </row>
    <row r="17" ht="21.0" customHeight="1">
      <c r="A17" s="267"/>
      <c r="B17" s="506"/>
      <c r="C17" s="507"/>
      <c r="D17" s="241"/>
      <c r="E17" s="508"/>
      <c r="F17" s="509"/>
      <c r="G17" s="510"/>
      <c r="H17" s="511"/>
      <c r="I17" s="512"/>
      <c r="J17" s="277"/>
    </row>
  </sheetData>
  <hyperlinks>
    <hyperlink r:id="rId1" ref="F6"/>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7C00"/>
    <outlinePr summaryBelow="0" summaryRight="0"/>
  </sheetPr>
  <sheetViews>
    <sheetView showGridLines="0" workbookViewId="0"/>
  </sheetViews>
  <sheetFormatPr customHeight="1" defaultColWidth="12.63" defaultRowHeight="15.75"/>
  <cols>
    <col customWidth="1" min="1" max="1" width="5.13"/>
    <col customWidth="1" min="2" max="2" width="13.25"/>
    <col customWidth="1" min="3" max="3" width="11.38"/>
    <col customWidth="1" min="4" max="4" width="13.75"/>
    <col customWidth="1" min="5" max="5" width="13.25"/>
    <col customWidth="1" min="6" max="6" width="14.38"/>
    <col customWidth="1" min="7" max="7" width="16.0"/>
    <col customWidth="1" min="8" max="8" width="11.63"/>
    <col customWidth="1" min="9" max="9" width="31.88"/>
    <col customWidth="1" min="10" max="10" width="5.13"/>
  </cols>
  <sheetData>
    <row r="1" ht="6.0" customHeight="1">
      <c r="A1" s="514"/>
      <c r="B1" s="514"/>
      <c r="C1" s="514"/>
      <c r="D1" s="514"/>
      <c r="E1" s="514"/>
      <c r="F1" s="514"/>
      <c r="G1" s="515"/>
      <c r="H1" s="515"/>
      <c r="I1" s="515"/>
      <c r="J1" s="515"/>
    </row>
    <row r="2" ht="66.0" customHeight="1">
      <c r="A2" s="45"/>
      <c r="B2" s="516" t="s">
        <v>14</v>
      </c>
      <c r="E2" s="517"/>
      <c r="F2" s="517"/>
      <c r="G2" s="334" t="s">
        <v>239</v>
      </c>
      <c r="J2" s="45"/>
    </row>
    <row r="3" ht="18.0" customHeight="1">
      <c r="A3" s="49"/>
      <c r="B3" s="518" t="s">
        <v>240</v>
      </c>
      <c r="D3" s="221">
        <v>200.0</v>
      </c>
      <c r="E3" s="519"/>
      <c r="F3" s="519"/>
      <c r="G3" s="519"/>
      <c r="H3" s="519"/>
      <c r="I3" s="519"/>
      <c r="J3" s="49"/>
    </row>
    <row r="4" ht="12.0" customHeight="1">
      <c r="A4" s="45"/>
      <c r="B4" s="335"/>
      <c r="C4" s="335"/>
      <c r="D4" s="335"/>
      <c r="E4" s="335"/>
      <c r="F4" s="335"/>
      <c r="G4" s="335"/>
      <c r="H4" s="335"/>
      <c r="I4" s="335"/>
      <c r="J4" s="45"/>
    </row>
    <row r="5" ht="12.0" customHeight="1">
      <c r="A5" s="225"/>
      <c r="B5" s="337"/>
      <c r="C5" s="337"/>
      <c r="D5" s="337"/>
      <c r="E5" s="337"/>
      <c r="F5" s="337"/>
      <c r="G5" s="337"/>
      <c r="H5" s="337"/>
      <c r="I5" s="337"/>
      <c r="J5" s="225"/>
    </row>
    <row r="6" ht="24.0" customHeight="1">
      <c r="A6" s="225"/>
      <c r="B6" s="520" t="s">
        <v>54</v>
      </c>
      <c r="C6" s="520" t="s">
        <v>56</v>
      </c>
      <c r="D6" s="520" t="s">
        <v>57</v>
      </c>
      <c r="E6" s="520" t="s">
        <v>58</v>
      </c>
      <c r="F6" s="520" t="s">
        <v>241</v>
      </c>
      <c r="G6" s="520" t="s">
        <v>242</v>
      </c>
      <c r="H6" s="521" t="s">
        <v>152</v>
      </c>
      <c r="I6" s="522" t="s">
        <v>37</v>
      </c>
      <c r="J6" s="225"/>
    </row>
    <row r="7" ht="21.0" customHeight="1">
      <c r="A7" s="523"/>
      <c r="B7" s="375" t="s">
        <v>243</v>
      </c>
      <c r="C7" s="524" t="s">
        <v>62</v>
      </c>
      <c r="D7" s="524" t="s">
        <v>63</v>
      </c>
      <c r="E7" s="525" t="s">
        <v>64</v>
      </c>
      <c r="F7" s="478">
        <v>0.0</v>
      </c>
      <c r="G7" s="478">
        <v>0.0</v>
      </c>
      <c r="H7" s="526">
        <f>(Bolo!TotalSlices*F7)+G7</f>
        <v>0</v>
      </c>
      <c r="I7" s="346"/>
      <c r="J7" s="523"/>
    </row>
    <row r="8" ht="21.0" customHeight="1">
      <c r="A8" s="523"/>
      <c r="B8" s="381"/>
      <c r="C8" s="527"/>
      <c r="D8" s="527"/>
      <c r="E8" s="527"/>
      <c r="F8" s="349"/>
      <c r="G8" s="349"/>
      <c r="H8" s="528">
        <f>(Bolo!TotalSlices*F8)+G8</f>
        <v>0</v>
      </c>
      <c r="I8" s="362"/>
      <c r="J8" s="523"/>
    </row>
    <row r="9" ht="21.0" customHeight="1">
      <c r="A9" s="523"/>
      <c r="B9" s="375"/>
      <c r="C9" s="529"/>
      <c r="D9" s="524"/>
      <c r="E9" s="530"/>
      <c r="F9" s="353"/>
      <c r="G9" s="353"/>
      <c r="H9" s="526">
        <f>(Bolo!TotalSlices*F9)+G9</f>
        <v>0</v>
      </c>
      <c r="I9" s="355"/>
      <c r="J9" s="523"/>
    </row>
    <row r="10" ht="21.0" customHeight="1">
      <c r="A10" s="523"/>
      <c r="B10" s="381"/>
      <c r="C10" s="531"/>
      <c r="D10" s="532"/>
      <c r="E10" s="532"/>
      <c r="F10" s="357"/>
      <c r="G10" s="357"/>
      <c r="H10" s="528">
        <f>(Bolo!TotalSlices*F10)+G10</f>
        <v>0</v>
      </c>
      <c r="I10" s="359"/>
      <c r="J10" s="523"/>
    </row>
    <row r="11" ht="21.0" customHeight="1">
      <c r="A11" s="523"/>
      <c r="B11" s="375"/>
      <c r="C11" s="529"/>
      <c r="D11" s="530"/>
      <c r="E11" s="530"/>
      <c r="F11" s="353"/>
      <c r="G11" s="353"/>
      <c r="H11" s="526">
        <f>(Bolo!TotalSlices*F11)+G11</f>
        <v>0</v>
      </c>
      <c r="I11" s="355"/>
      <c r="J11" s="523"/>
    </row>
    <row r="12" ht="21.0" customHeight="1">
      <c r="A12" s="523"/>
      <c r="B12" s="381"/>
      <c r="C12" s="531"/>
      <c r="D12" s="532"/>
      <c r="E12" s="532"/>
      <c r="F12" s="357"/>
      <c r="G12" s="349"/>
      <c r="H12" s="528">
        <f>(Bolo!TotalSlices*F12)+G12</f>
        <v>0</v>
      </c>
      <c r="I12" s="359"/>
      <c r="J12" s="523"/>
    </row>
    <row r="13" ht="21.0" customHeight="1">
      <c r="A13" s="523"/>
      <c r="B13" s="375"/>
      <c r="C13" s="529"/>
      <c r="D13" s="530"/>
      <c r="E13" s="530"/>
      <c r="F13" s="353"/>
      <c r="G13" s="353"/>
      <c r="H13" s="526">
        <f>(Bolo!TotalSlices*F13)+G13</f>
        <v>0</v>
      </c>
      <c r="I13" s="355"/>
      <c r="J13" s="523"/>
    </row>
    <row r="14" ht="21.0" customHeight="1">
      <c r="A14" s="523"/>
      <c r="B14" s="381"/>
      <c r="C14" s="531"/>
      <c r="D14" s="532"/>
      <c r="E14" s="532"/>
      <c r="F14" s="357"/>
      <c r="G14" s="357"/>
      <c r="H14" s="528">
        <f>(Bolo!TotalSlices*F14)+G14</f>
        <v>0</v>
      </c>
      <c r="I14" s="359"/>
      <c r="J14" s="523"/>
    </row>
    <row r="15" ht="21.0" customHeight="1">
      <c r="A15" s="523"/>
      <c r="B15" s="533"/>
      <c r="C15" s="534"/>
      <c r="D15" s="530"/>
      <c r="E15" s="530"/>
      <c r="F15" s="353"/>
      <c r="G15" s="353"/>
      <c r="H15" s="526">
        <f>(Bolo!TotalSlices*F15)+G15</f>
        <v>0</v>
      </c>
      <c r="I15" s="355"/>
      <c r="J15" s="523"/>
    </row>
    <row r="16" ht="21.0" customHeight="1">
      <c r="A16" s="523"/>
      <c r="B16" s="535"/>
      <c r="C16" s="536"/>
      <c r="D16" s="532"/>
      <c r="E16" s="532"/>
      <c r="F16" s="357"/>
      <c r="G16" s="357"/>
      <c r="H16" s="528">
        <f>(Bolo!TotalSlices*F16)+G16</f>
        <v>0</v>
      </c>
      <c r="I16" s="359"/>
      <c r="J16" s="523"/>
    </row>
    <row r="17" ht="21.0" customHeight="1">
      <c r="A17" s="523"/>
      <c r="B17" s="533"/>
      <c r="C17" s="534"/>
      <c r="D17" s="530"/>
      <c r="E17" s="530"/>
      <c r="F17" s="353"/>
      <c r="G17" s="353"/>
      <c r="H17" s="526">
        <f>(Bolo!TotalSlices*F17)+G17</f>
        <v>0</v>
      </c>
      <c r="I17" s="355"/>
      <c r="J17" s="523"/>
    </row>
    <row r="18" ht="21.0" customHeight="1">
      <c r="A18" s="523"/>
      <c r="B18" s="535"/>
      <c r="C18" s="536"/>
      <c r="D18" s="532"/>
      <c r="E18" s="532"/>
      <c r="F18" s="357"/>
      <c r="G18" s="357"/>
      <c r="H18" s="528">
        <f>(Bolo!TotalSlices*F18)+G18</f>
        <v>0</v>
      </c>
      <c r="I18" s="359"/>
      <c r="J18" s="523"/>
    </row>
  </sheetData>
  <mergeCells count="3">
    <mergeCell ref="B2:D2"/>
    <mergeCell ref="G2:I2"/>
    <mergeCell ref="B3:C3"/>
  </mergeCells>
  <hyperlinks>
    <hyperlink r:id="rId1" ref="E7"/>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7C00"/>
    <outlinePr summaryBelow="0" summaryRight="0"/>
  </sheetPr>
  <sheetViews>
    <sheetView showGridLines="0" workbookViewId="0"/>
  </sheetViews>
  <sheetFormatPr customHeight="1" defaultColWidth="12.63" defaultRowHeight="15.75"/>
  <cols>
    <col customWidth="1" min="1" max="1" width="5.13"/>
    <col customWidth="1" min="2" max="2" width="13.25"/>
    <col customWidth="1" min="3" max="3" width="13.5"/>
    <col customWidth="1" min="4" max="4" width="11.38"/>
    <col customWidth="1" min="5" max="5" width="13.75"/>
    <col customWidth="1" min="6" max="6" width="11.5"/>
    <col customWidth="1" min="7" max="7" width="11.75"/>
    <col customWidth="1" min="8" max="8" width="10.5"/>
    <col customWidth="1" min="9" max="9" width="31.88"/>
    <col customWidth="1" min="10" max="10" width="5.13"/>
  </cols>
  <sheetData>
    <row r="1" ht="6.0" customHeight="1">
      <c r="A1" s="514"/>
      <c r="B1" s="514"/>
      <c r="C1" s="514"/>
      <c r="D1" s="514"/>
      <c r="E1" s="514"/>
      <c r="F1" s="514"/>
      <c r="G1" s="515"/>
      <c r="H1" s="515"/>
      <c r="I1" s="515"/>
      <c r="J1" s="515"/>
    </row>
    <row r="2" ht="66.0" customHeight="1">
      <c r="A2" s="45"/>
      <c r="B2" s="516" t="s">
        <v>16</v>
      </c>
      <c r="E2" s="517"/>
      <c r="F2" s="517"/>
      <c r="G2" s="260" t="s">
        <v>244</v>
      </c>
      <c r="J2" s="45"/>
    </row>
    <row r="3" ht="18.0" customHeight="1">
      <c r="A3" s="49"/>
      <c r="B3" s="537" t="s">
        <v>245</v>
      </c>
      <c r="D3" s="221">
        <v>80.0</v>
      </c>
      <c r="E3" s="519"/>
      <c r="F3" s="519"/>
      <c r="G3" s="519"/>
      <c r="H3" s="537"/>
      <c r="I3" s="519"/>
      <c r="J3" s="49"/>
    </row>
    <row r="4" ht="12.0" customHeight="1">
      <c r="A4" s="45"/>
      <c r="B4" s="538"/>
      <c r="C4" s="538"/>
      <c r="D4" s="538"/>
      <c r="E4" s="538"/>
      <c r="F4" s="538"/>
      <c r="G4" s="538"/>
      <c r="H4" s="539"/>
      <c r="I4" s="538"/>
      <c r="J4" s="45"/>
    </row>
    <row r="5" ht="12.0" customHeight="1">
      <c r="A5" s="45"/>
      <c r="B5" s="540"/>
      <c r="C5" s="540"/>
      <c r="D5" s="540"/>
      <c r="E5" s="540"/>
      <c r="F5" s="540"/>
      <c r="G5" s="540"/>
      <c r="H5" s="541"/>
      <c r="I5" s="540"/>
      <c r="J5" s="45"/>
    </row>
    <row r="6" ht="24.0" customHeight="1">
      <c r="A6" s="225"/>
      <c r="B6" s="520" t="s">
        <v>16</v>
      </c>
      <c r="C6" s="520" t="s">
        <v>193</v>
      </c>
      <c r="D6" s="520" t="s">
        <v>56</v>
      </c>
      <c r="E6" s="520" t="s">
        <v>57</v>
      </c>
      <c r="F6" s="520" t="s">
        <v>58</v>
      </c>
      <c r="G6" s="520" t="s">
        <v>202</v>
      </c>
      <c r="H6" s="521" t="s">
        <v>152</v>
      </c>
      <c r="I6" s="542" t="s">
        <v>37</v>
      </c>
      <c r="J6" s="225"/>
    </row>
    <row r="7" ht="21.0" customHeight="1">
      <c r="A7" s="231"/>
      <c r="B7" s="342" t="s">
        <v>246</v>
      </c>
      <c r="C7" s="233" t="s">
        <v>60</v>
      </c>
      <c r="D7" s="233" t="s">
        <v>62</v>
      </c>
      <c r="E7" s="233" t="s">
        <v>63</v>
      </c>
      <c r="F7" s="234" t="s">
        <v>64</v>
      </c>
      <c r="G7" s="543">
        <v>0.0</v>
      </c>
      <c r="H7" s="544">
        <f>'Bufê'!DinnerGuests*G7</f>
        <v>0</v>
      </c>
      <c r="I7" s="346"/>
      <c r="J7" s="231"/>
    </row>
    <row r="8" ht="21.0" customHeight="1">
      <c r="A8" s="231"/>
      <c r="B8" s="347"/>
      <c r="C8" s="247"/>
      <c r="D8" s="241"/>
      <c r="E8" s="241"/>
      <c r="F8" s="241"/>
      <c r="G8" s="545"/>
      <c r="H8" s="546">
        <f>'Bufê'!DinnerGuests*G8</f>
        <v>0</v>
      </c>
      <c r="I8" s="362"/>
      <c r="J8" s="231"/>
    </row>
    <row r="9" ht="21.0" customHeight="1">
      <c r="A9" s="231"/>
      <c r="B9" s="342"/>
      <c r="C9" s="251"/>
      <c r="D9" s="233"/>
      <c r="E9" s="252"/>
      <c r="F9" s="252"/>
      <c r="G9" s="547"/>
      <c r="H9" s="544">
        <f>'Bufê'!DinnerGuests*G9</f>
        <v>0</v>
      </c>
      <c r="I9" s="346"/>
      <c r="J9" s="231"/>
    </row>
    <row r="10" ht="21.0" customHeight="1">
      <c r="A10" s="231"/>
      <c r="B10" s="347"/>
      <c r="C10" s="247"/>
      <c r="D10" s="248"/>
      <c r="E10" s="248"/>
      <c r="F10" s="248"/>
      <c r="G10" s="548"/>
      <c r="H10" s="546">
        <f>'Bufê'!DinnerGuests*G10</f>
        <v>0</v>
      </c>
      <c r="I10" s="362"/>
      <c r="J10" s="231"/>
    </row>
    <row r="11" ht="21.0" customHeight="1">
      <c r="A11" s="231"/>
      <c r="B11" s="342"/>
      <c r="C11" s="251"/>
      <c r="D11" s="252"/>
      <c r="E11" s="252"/>
      <c r="F11" s="252"/>
      <c r="G11" s="547"/>
      <c r="H11" s="544">
        <f>'Bufê'!DinnerGuests*G11</f>
        <v>0</v>
      </c>
      <c r="I11" s="355"/>
      <c r="J11" s="231"/>
    </row>
    <row r="12" ht="21.0" customHeight="1">
      <c r="A12" s="231"/>
      <c r="B12" s="347"/>
      <c r="C12" s="247"/>
      <c r="D12" s="248"/>
      <c r="E12" s="248"/>
      <c r="F12" s="248"/>
      <c r="G12" s="548"/>
      <c r="H12" s="546">
        <f>'Bufê'!DinnerGuests*G12</f>
        <v>0</v>
      </c>
      <c r="I12" s="362"/>
      <c r="J12" s="231"/>
    </row>
    <row r="13" ht="21.0" customHeight="1">
      <c r="A13" s="231"/>
      <c r="B13" s="342"/>
      <c r="C13" s="251"/>
      <c r="D13" s="252"/>
      <c r="E13" s="252"/>
      <c r="F13" s="252"/>
      <c r="G13" s="547"/>
      <c r="H13" s="544">
        <f>'Bufê'!DinnerGuests*G13</f>
        <v>0</v>
      </c>
      <c r="I13" s="355"/>
      <c r="J13" s="231"/>
    </row>
    <row r="14" ht="21.0" customHeight="1">
      <c r="A14" s="231"/>
      <c r="B14" s="347"/>
      <c r="C14" s="247"/>
      <c r="D14" s="248"/>
      <c r="E14" s="248"/>
      <c r="F14" s="248"/>
      <c r="G14" s="548"/>
      <c r="H14" s="546">
        <f>'Bufê'!DinnerGuests*G14</f>
        <v>0</v>
      </c>
      <c r="I14" s="359"/>
      <c r="J14" s="231"/>
    </row>
    <row r="15" ht="21.0" customHeight="1">
      <c r="A15" s="231"/>
      <c r="B15" s="360"/>
      <c r="C15" s="256"/>
      <c r="D15" s="252"/>
      <c r="E15" s="252"/>
      <c r="F15" s="252"/>
      <c r="G15" s="547"/>
      <c r="H15" s="544">
        <f>'Bufê'!DinnerGuests*G15</f>
        <v>0</v>
      </c>
      <c r="I15" s="355"/>
      <c r="J15" s="231"/>
    </row>
    <row r="16" ht="21.0" customHeight="1">
      <c r="A16" s="231"/>
      <c r="B16" s="363"/>
      <c r="C16" s="258"/>
      <c r="D16" s="248"/>
      <c r="E16" s="248"/>
      <c r="F16" s="248"/>
      <c r="G16" s="548"/>
      <c r="H16" s="546">
        <f>'Bufê'!DinnerGuests*G16</f>
        <v>0</v>
      </c>
      <c r="I16" s="359"/>
      <c r="J16" s="231"/>
    </row>
    <row r="17" ht="21.0" customHeight="1">
      <c r="A17" s="231"/>
      <c r="B17" s="360"/>
      <c r="C17" s="256"/>
      <c r="D17" s="252"/>
      <c r="E17" s="252"/>
      <c r="F17" s="252"/>
      <c r="G17" s="547"/>
      <c r="H17" s="544">
        <f>'Bufê'!DinnerGuests*G17</f>
        <v>0</v>
      </c>
      <c r="I17" s="355"/>
      <c r="J17" s="231"/>
    </row>
    <row r="18" ht="21.0" customHeight="1">
      <c r="A18" s="231"/>
      <c r="B18" s="363"/>
      <c r="C18" s="258"/>
      <c r="D18" s="248"/>
      <c r="E18" s="248"/>
      <c r="F18" s="248"/>
      <c r="G18" s="548"/>
      <c r="H18" s="546">
        <f>'Bufê'!DinnerGuests*G18</f>
        <v>0</v>
      </c>
      <c r="I18" s="359"/>
      <c r="J18" s="231"/>
    </row>
  </sheetData>
  <mergeCells count="3">
    <mergeCell ref="B2:D2"/>
    <mergeCell ref="G2:I2"/>
    <mergeCell ref="B3:C3"/>
  </mergeCells>
  <hyperlinks>
    <hyperlink r:id="rId1" ref="F7"/>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27B0"/>
    <outlinePr summaryBelow="0" summaryRight="0"/>
  </sheetPr>
  <sheetViews>
    <sheetView showGridLines="0" workbookViewId="0"/>
  </sheetViews>
  <sheetFormatPr customHeight="1" defaultColWidth="12.63" defaultRowHeight="15.75"/>
  <cols>
    <col customWidth="1" min="1" max="1" width="5.13"/>
    <col customWidth="1" min="2" max="2" width="19.75"/>
    <col customWidth="1" min="3" max="3" width="11.38"/>
    <col customWidth="1" min="4" max="4" width="13.75"/>
    <col customWidth="1" min="5" max="5" width="13.25"/>
    <col customWidth="1" min="6" max="6" width="12.25"/>
    <col customWidth="1" min="7" max="7" width="12.88"/>
    <col customWidth="1" min="8" max="8" width="9.25"/>
    <col customWidth="1" min="9" max="9" width="12.38"/>
    <col customWidth="1" min="10" max="10" width="31.88"/>
    <col customWidth="1" min="11" max="11" width="5.13"/>
  </cols>
  <sheetData>
    <row r="1" ht="6.0" customHeight="1">
      <c r="A1" s="215"/>
      <c r="B1" s="215"/>
      <c r="C1" s="215"/>
      <c r="D1" s="215"/>
      <c r="E1" s="215"/>
      <c r="F1" s="215"/>
      <c r="G1" s="215"/>
      <c r="H1" s="215"/>
      <c r="I1" s="215"/>
      <c r="J1" s="215"/>
      <c r="K1" s="215"/>
    </row>
    <row r="2" ht="66.0" customHeight="1">
      <c r="A2" s="549"/>
      <c r="B2" s="216" t="s">
        <v>21</v>
      </c>
      <c r="D2" s="217"/>
      <c r="E2" s="217"/>
      <c r="F2" s="217"/>
      <c r="G2" s="217"/>
      <c r="H2" s="217"/>
      <c r="I2" s="217"/>
      <c r="J2" s="217"/>
      <c r="K2" s="549"/>
    </row>
    <row r="3" ht="12.0" customHeight="1">
      <c r="A3" s="261"/>
      <c r="B3" s="550"/>
      <c r="C3" s="550"/>
      <c r="D3" s="550"/>
      <c r="E3" s="550"/>
      <c r="F3" s="550"/>
      <c r="G3" s="550"/>
      <c r="H3" s="550"/>
      <c r="I3" s="550"/>
      <c r="J3" s="550"/>
      <c r="K3" s="261"/>
    </row>
    <row r="4" ht="12.0" customHeight="1">
      <c r="A4" s="551"/>
      <c r="B4" s="278"/>
      <c r="C4" s="278"/>
      <c r="D4" s="278"/>
      <c r="E4" s="278"/>
      <c r="F4" s="278"/>
      <c r="G4" s="278"/>
      <c r="H4" s="278"/>
      <c r="I4" s="278"/>
      <c r="J4" s="278"/>
      <c r="K4" s="551"/>
    </row>
    <row r="5" ht="24.0" customHeight="1">
      <c r="A5" s="552"/>
      <c r="B5" s="228" t="s">
        <v>54</v>
      </c>
      <c r="C5" s="228" t="s">
        <v>56</v>
      </c>
      <c r="D5" s="228" t="s">
        <v>57</v>
      </c>
      <c r="E5" s="228" t="s">
        <v>58</v>
      </c>
      <c r="F5" s="553" t="s">
        <v>214</v>
      </c>
      <c r="G5" s="553" t="s">
        <v>247</v>
      </c>
      <c r="H5" s="553" t="s">
        <v>248</v>
      </c>
      <c r="I5" s="228" t="s">
        <v>152</v>
      </c>
      <c r="J5" s="554" t="s">
        <v>37</v>
      </c>
      <c r="K5" s="552"/>
    </row>
    <row r="6" ht="21.0" customHeight="1">
      <c r="A6" s="231"/>
      <c r="B6" s="342" t="s">
        <v>249</v>
      </c>
      <c r="C6" s="233" t="s">
        <v>62</v>
      </c>
      <c r="D6" s="233" t="s">
        <v>63</v>
      </c>
      <c r="E6" s="234" t="s">
        <v>64</v>
      </c>
      <c r="F6" s="343">
        <v>0.0</v>
      </c>
      <c r="G6" s="344">
        <v>0.0</v>
      </c>
      <c r="H6" s="343">
        <v>0.0</v>
      </c>
      <c r="I6" s="555">
        <f t="shared" ref="I6:I17" si="1">sum(F6:H6)</f>
        <v>0</v>
      </c>
      <c r="J6" s="556"/>
      <c r="K6" s="380"/>
    </row>
    <row r="7" ht="21.0" customHeight="1">
      <c r="A7" s="231"/>
      <c r="B7" s="347"/>
      <c r="C7" s="241"/>
      <c r="D7" s="241"/>
      <c r="E7" s="241"/>
      <c r="F7" s="348"/>
      <c r="G7" s="349"/>
      <c r="H7" s="348"/>
      <c r="I7" s="557">
        <f t="shared" si="1"/>
        <v>0</v>
      </c>
      <c r="J7" s="558"/>
      <c r="K7" s="380"/>
    </row>
    <row r="8" ht="21.0" customHeight="1">
      <c r="A8" s="231"/>
      <c r="B8" s="342"/>
      <c r="C8" s="233"/>
      <c r="D8" s="233"/>
      <c r="E8" s="252"/>
      <c r="F8" s="343"/>
      <c r="G8" s="353"/>
      <c r="H8" s="343"/>
      <c r="I8" s="555">
        <f t="shared" si="1"/>
        <v>0</v>
      </c>
      <c r="J8" s="559"/>
      <c r="K8" s="380"/>
    </row>
    <row r="9" ht="21.0" customHeight="1">
      <c r="A9" s="231"/>
      <c r="B9" s="347"/>
      <c r="C9" s="241"/>
      <c r="D9" s="248"/>
      <c r="E9" s="248"/>
      <c r="F9" s="348"/>
      <c r="G9" s="349"/>
      <c r="H9" s="356"/>
      <c r="I9" s="557">
        <f t="shared" si="1"/>
        <v>0</v>
      </c>
      <c r="J9" s="560"/>
      <c r="K9" s="380"/>
    </row>
    <row r="10" ht="21.0" customHeight="1">
      <c r="A10" s="231"/>
      <c r="B10" s="342"/>
      <c r="C10" s="233"/>
      <c r="D10" s="252"/>
      <c r="E10" s="252"/>
      <c r="F10" s="343"/>
      <c r="G10" s="353"/>
      <c r="H10" s="343"/>
      <c r="I10" s="555">
        <f t="shared" si="1"/>
        <v>0</v>
      </c>
      <c r="J10" s="559"/>
      <c r="K10" s="380"/>
    </row>
    <row r="11" ht="21.0" customHeight="1">
      <c r="A11" s="231"/>
      <c r="B11" s="347"/>
      <c r="C11" s="241"/>
      <c r="D11" s="248"/>
      <c r="E11" s="248"/>
      <c r="F11" s="348"/>
      <c r="G11" s="349"/>
      <c r="H11" s="348"/>
      <c r="I11" s="557">
        <f t="shared" si="1"/>
        <v>0</v>
      </c>
      <c r="J11" s="558"/>
      <c r="K11" s="380"/>
    </row>
    <row r="12" ht="21.0" customHeight="1">
      <c r="A12" s="231"/>
      <c r="B12" s="342"/>
      <c r="C12" s="251"/>
      <c r="D12" s="252"/>
      <c r="E12" s="252"/>
      <c r="F12" s="352"/>
      <c r="G12" s="353"/>
      <c r="H12" s="352"/>
      <c r="I12" s="555">
        <f t="shared" si="1"/>
        <v>0</v>
      </c>
      <c r="J12" s="559"/>
      <c r="K12" s="380"/>
    </row>
    <row r="13" ht="21.0" customHeight="1">
      <c r="A13" s="231"/>
      <c r="B13" s="347"/>
      <c r="C13" s="247"/>
      <c r="D13" s="248"/>
      <c r="E13" s="248"/>
      <c r="F13" s="356"/>
      <c r="G13" s="357"/>
      <c r="H13" s="356"/>
      <c r="I13" s="557">
        <f t="shared" si="1"/>
        <v>0</v>
      </c>
      <c r="J13" s="560"/>
      <c r="K13" s="380"/>
    </row>
    <row r="14" ht="21.0" customHeight="1">
      <c r="A14" s="231"/>
      <c r="B14" s="360"/>
      <c r="C14" s="256"/>
      <c r="D14" s="252"/>
      <c r="E14" s="252"/>
      <c r="F14" s="352"/>
      <c r="G14" s="353"/>
      <c r="H14" s="352"/>
      <c r="I14" s="555">
        <f t="shared" si="1"/>
        <v>0</v>
      </c>
      <c r="J14" s="559"/>
      <c r="K14" s="380"/>
    </row>
    <row r="15" ht="21.0" customHeight="1">
      <c r="A15" s="231"/>
      <c r="B15" s="363"/>
      <c r="C15" s="258"/>
      <c r="D15" s="248"/>
      <c r="E15" s="248"/>
      <c r="F15" s="356"/>
      <c r="G15" s="357"/>
      <c r="H15" s="356"/>
      <c r="I15" s="557">
        <f t="shared" si="1"/>
        <v>0</v>
      </c>
      <c r="J15" s="560"/>
      <c r="K15" s="380"/>
    </row>
    <row r="16" ht="21.0" customHeight="1">
      <c r="A16" s="231"/>
      <c r="B16" s="360"/>
      <c r="C16" s="256"/>
      <c r="D16" s="252"/>
      <c r="E16" s="252"/>
      <c r="F16" s="352"/>
      <c r="G16" s="353"/>
      <c r="H16" s="352"/>
      <c r="I16" s="555">
        <f t="shared" si="1"/>
        <v>0</v>
      </c>
      <c r="J16" s="559"/>
      <c r="K16" s="380"/>
    </row>
    <row r="17" ht="21.0" customHeight="1">
      <c r="A17" s="231"/>
      <c r="B17" s="363"/>
      <c r="C17" s="258"/>
      <c r="D17" s="248"/>
      <c r="E17" s="248"/>
      <c r="F17" s="356"/>
      <c r="G17" s="357"/>
      <c r="H17" s="356"/>
      <c r="I17" s="557">
        <f t="shared" si="1"/>
        <v>0</v>
      </c>
      <c r="J17" s="560"/>
      <c r="K17" s="380"/>
    </row>
  </sheetData>
  <mergeCells count="1">
    <mergeCell ref="B2:C2"/>
  </mergeCells>
  <hyperlinks>
    <hyperlink r:id="rId1" ref="E6"/>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27B0"/>
    <outlinePr summaryBelow="0" summaryRight="0"/>
  </sheetPr>
  <sheetViews>
    <sheetView showGridLines="0" workbookViewId="0"/>
  </sheetViews>
  <sheetFormatPr customHeight="1" defaultColWidth="12.63" defaultRowHeight="15.75"/>
  <cols>
    <col customWidth="1" min="1" max="1" width="5.13"/>
    <col customWidth="1" min="2" max="2" width="19.75"/>
    <col customWidth="1" min="3" max="3" width="11.38"/>
    <col customWidth="1" min="4" max="4" width="13.75"/>
    <col customWidth="1" min="5" max="5" width="13.25"/>
    <col customWidth="1" min="6" max="6" width="12.38"/>
    <col customWidth="1" min="7" max="7" width="31.88"/>
    <col customWidth="1" min="8" max="8" width="5.13"/>
  </cols>
  <sheetData>
    <row r="1" ht="6.0" customHeight="1">
      <c r="A1" s="215"/>
      <c r="B1" s="215"/>
      <c r="C1" s="215"/>
      <c r="D1" s="215"/>
      <c r="E1" s="215"/>
      <c r="F1" s="215"/>
      <c r="G1" s="215"/>
      <c r="H1" s="215"/>
    </row>
    <row r="2" ht="66.0" customHeight="1">
      <c r="A2" s="549"/>
      <c r="B2" s="216" t="s">
        <v>24</v>
      </c>
      <c r="D2" s="217"/>
      <c r="E2" s="217"/>
      <c r="F2" s="217"/>
      <c r="G2" s="217"/>
      <c r="H2" s="549"/>
    </row>
    <row r="3" ht="12.0" customHeight="1">
      <c r="A3" s="261"/>
      <c r="B3" s="550"/>
      <c r="C3" s="550"/>
      <c r="D3" s="550"/>
      <c r="E3" s="550"/>
      <c r="F3" s="550"/>
      <c r="G3" s="550"/>
      <c r="H3" s="261"/>
    </row>
    <row r="4" ht="12.0" customHeight="1">
      <c r="A4" s="551"/>
      <c r="B4" s="278"/>
      <c r="C4" s="278"/>
      <c r="D4" s="278"/>
      <c r="E4" s="278"/>
      <c r="F4" s="278"/>
      <c r="G4" s="278"/>
      <c r="H4" s="551"/>
    </row>
    <row r="5" ht="24.0" customHeight="1">
      <c r="A5" s="552"/>
      <c r="B5" s="228" t="s">
        <v>54</v>
      </c>
      <c r="C5" s="228" t="s">
        <v>56</v>
      </c>
      <c r="D5" s="228" t="s">
        <v>57</v>
      </c>
      <c r="E5" s="228" t="s">
        <v>58</v>
      </c>
      <c r="F5" s="228" t="s">
        <v>59</v>
      </c>
      <c r="G5" s="554" t="s">
        <v>37</v>
      </c>
      <c r="H5" s="552"/>
    </row>
    <row r="6" ht="21.0" customHeight="1">
      <c r="A6" s="267"/>
      <c r="B6" s="499" t="s">
        <v>250</v>
      </c>
      <c r="C6" s="500" t="s">
        <v>62</v>
      </c>
      <c r="D6" s="561" t="s">
        <v>63</v>
      </c>
      <c r="E6" s="234" t="s">
        <v>64</v>
      </c>
      <c r="F6" s="562">
        <v>0.0</v>
      </c>
      <c r="G6" s="563"/>
      <c r="H6" s="297"/>
    </row>
    <row r="7" ht="21.0" customHeight="1">
      <c r="A7" s="267"/>
      <c r="B7" s="506"/>
      <c r="C7" s="507"/>
      <c r="D7" s="564"/>
      <c r="E7" s="564"/>
      <c r="F7" s="565"/>
      <c r="G7" s="566"/>
      <c r="H7" s="297"/>
    </row>
    <row r="8" ht="21.0" customHeight="1">
      <c r="A8" s="267"/>
      <c r="B8" s="499"/>
      <c r="C8" s="500"/>
      <c r="D8" s="561"/>
      <c r="E8" s="567"/>
      <c r="F8" s="562"/>
      <c r="G8" s="563"/>
      <c r="H8" s="297"/>
    </row>
    <row r="9" ht="21.0" customHeight="1">
      <c r="A9" s="267"/>
      <c r="B9" s="506"/>
      <c r="C9" s="507"/>
      <c r="D9" s="568"/>
      <c r="E9" s="568"/>
      <c r="F9" s="565"/>
      <c r="G9" s="566"/>
      <c r="H9" s="297"/>
    </row>
    <row r="10" ht="21.0" customHeight="1">
      <c r="A10" s="267"/>
      <c r="B10" s="499"/>
      <c r="C10" s="500"/>
      <c r="D10" s="567"/>
      <c r="E10" s="567"/>
      <c r="F10" s="562"/>
      <c r="G10" s="569"/>
      <c r="H10" s="297"/>
    </row>
    <row r="11" ht="21.0" customHeight="1">
      <c r="A11" s="267"/>
      <c r="B11" s="506"/>
      <c r="C11" s="507"/>
      <c r="D11" s="568"/>
      <c r="E11" s="568"/>
      <c r="F11" s="565"/>
      <c r="G11" s="566"/>
      <c r="H11" s="297"/>
    </row>
    <row r="12" ht="21.0" customHeight="1">
      <c r="A12" s="267"/>
      <c r="B12" s="499"/>
      <c r="C12" s="570"/>
      <c r="D12" s="567"/>
      <c r="E12" s="567"/>
      <c r="F12" s="562"/>
      <c r="G12" s="569"/>
      <c r="H12" s="297"/>
    </row>
    <row r="13" ht="21.0" customHeight="1">
      <c r="A13" s="267"/>
      <c r="B13" s="506"/>
      <c r="C13" s="571"/>
      <c r="D13" s="568"/>
      <c r="E13" s="568"/>
      <c r="F13" s="565"/>
      <c r="G13" s="572"/>
      <c r="H13" s="297"/>
    </row>
    <row r="14" ht="21.0" customHeight="1">
      <c r="A14" s="267"/>
      <c r="B14" s="573"/>
      <c r="C14" s="574"/>
      <c r="D14" s="567"/>
      <c r="E14" s="567"/>
      <c r="F14" s="562"/>
      <c r="G14" s="569"/>
      <c r="H14" s="297"/>
    </row>
    <row r="15" ht="21.0" customHeight="1">
      <c r="A15" s="267"/>
      <c r="B15" s="575"/>
      <c r="C15" s="576"/>
      <c r="D15" s="568"/>
      <c r="E15" s="568"/>
      <c r="F15" s="565"/>
      <c r="G15" s="572"/>
      <c r="H15" s="297"/>
    </row>
    <row r="16" ht="21.0" customHeight="1">
      <c r="A16" s="267"/>
      <c r="B16" s="573"/>
      <c r="C16" s="574"/>
      <c r="D16" s="567"/>
      <c r="E16" s="567"/>
      <c r="F16" s="562"/>
      <c r="G16" s="569"/>
      <c r="H16" s="297"/>
    </row>
    <row r="17" ht="21.0" customHeight="1">
      <c r="A17" s="267"/>
      <c r="B17" s="575"/>
      <c r="C17" s="576"/>
      <c r="D17" s="568"/>
      <c r="E17" s="568"/>
      <c r="F17" s="565"/>
      <c r="G17" s="572"/>
      <c r="H17" s="297"/>
    </row>
  </sheetData>
  <mergeCells count="1">
    <mergeCell ref="B2:C2"/>
  </mergeCells>
  <hyperlinks>
    <hyperlink r:id="rId1" ref="E6"/>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88D1"/>
    <outlinePr summaryBelow="0" summaryRight="0"/>
  </sheetPr>
  <sheetViews>
    <sheetView showGridLines="0" workbookViewId="0"/>
  </sheetViews>
  <sheetFormatPr customHeight="1" defaultColWidth="12.63" defaultRowHeight="15.75"/>
  <cols>
    <col customWidth="1" min="1" max="1" width="5.13"/>
    <col customWidth="1" min="2" max="2" width="15.38"/>
    <col customWidth="1" min="3" max="3" width="11.38"/>
    <col customWidth="1" min="4" max="4" width="13.75"/>
    <col customWidth="1" min="5" max="5" width="13.25"/>
    <col customWidth="1" min="6" max="6" width="12.38"/>
    <col customWidth="1" min="7" max="7" width="5.63"/>
    <col customWidth="1" min="8" max="8" width="1.13"/>
    <col customWidth="1" min="9" max="9" width="31.88"/>
    <col customWidth="1" min="10" max="10" width="5.13"/>
  </cols>
  <sheetData>
    <row r="1" ht="6.0" customHeight="1">
      <c r="A1" s="331"/>
    </row>
    <row r="2" ht="66.0" customHeight="1">
      <c r="A2" s="45"/>
      <c r="B2" s="332" t="s">
        <v>28</v>
      </c>
      <c r="E2" s="260" t="s">
        <v>251</v>
      </c>
      <c r="J2" s="45"/>
    </row>
    <row r="3" ht="12.0" customHeight="1">
      <c r="A3" s="45"/>
      <c r="B3" s="45"/>
      <c r="C3" s="45"/>
      <c r="D3" s="45"/>
      <c r="E3" s="45"/>
      <c r="F3" s="45"/>
      <c r="G3" s="45"/>
      <c r="H3" s="45"/>
      <c r="I3" s="45"/>
      <c r="J3" s="45"/>
    </row>
    <row r="4" ht="12.0" customHeight="1">
      <c r="A4" s="225"/>
      <c r="B4" s="337"/>
      <c r="C4" s="337"/>
      <c r="D4" s="337"/>
      <c r="E4" s="337"/>
      <c r="F4" s="337"/>
      <c r="G4" s="337"/>
      <c r="H4" s="337"/>
      <c r="I4" s="337"/>
      <c r="J4" s="225"/>
    </row>
    <row r="5" ht="24.0" customHeight="1">
      <c r="A5" s="227"/>
      <c r="B5" s="577" t="s">
        <v>54</v>
      </c>
      <c r="C5" s="577" t="s">
        <v>56</v>
      </c>
      <c r="D5" s="577" t="s">
        <v>57</v>
      </c>
      <c r="E5" s="577" t="s">
        <v>58</v>
      </c>
      <c r="F5" s="578" t="s">
        <v>252</v>
      </c>
      <c r="G5" s="578" t="s">
        <v>253</v>
      </c>
      <c r="H5" s="578"/>
      <c r="I5" s="579" t="s">
        <v>37</v>
      </c>
      <c r="J5" s="227"/>
    </row>
    <row r="6" ht="12.0" customHeight="1">
      <c r="A6" s="267"/>
      <c r="B6" s="580"/>
      <c r="C6" s="581"/>
      <c r="D6" s="582"/>
      <c r="E6" s="583"/>
      <c r="F6" s="584"/>
      <c r="G6" s="585"/>
      <c r="H6" s="586"/>
      <c r="I6" s="587"/>
      <c r="J6" s="277"/>
    </row>
    <row r="7" ht="21.0" customHeight="1">
      <c r="A7" s="267"/>
      <c r="B7" s="370" t="s">
        <v>254</v>
      </c>
      <c r="C7" s="588"/>
      <c r="D7" s="582"/>
      <c r="E7" s="582"/>
      <c r="F7" s="589"/>
      <c r="G7" s="590"/>
      <c r="H7" s="591"/>
      <c r="I7" s="592"/>
      <c r="J7" s="277"/>
    </row>
    <row r="8" ht="21.0" customHeight="1">
      <c r="A8" s="267"/>
      <c r="B8" s="580" t="s">
        <v>255</v>
      </c>
      <c r="C8" s="581" t="s">
        <v>62</v>
      </c>
      <c r="D8" s="582" t="s">
        <v>63</v>
      </c>
      <c r="E8" s="593" t="s">
        <v>64</v>
      </c>
      <c r="F8" s="594">
        <v>0.0</v>
      </c>
      <c r="G8" s="585">
        <v>0.0</v>
      </c>
      <c r="H8" s="586"/>
      <c r="I8" s="587"/>
      <c r="J8" s="277"/>
    </row>
    <row r="9" ht="21.0" customHeight="1">
      <c r="A9" s="267"/>
      <c r="B9" s="580"/>
      <c r="C9" s="581"/>
      <c r="D9" s="582"/>
      <c r="E9" s="51"/>
      <c r="F9" s="594"/>
      <c r="G9" s="585"/>
      <c r="H9" s="586"/>
      <c r="I9" s="595"/>
      <c r="J9" s="277"/>
    </row>
    <row r="10" ht="21.0" customHeight="1">
      <c r="A10" s="267"/>
      <c r="B10" s="580"/>
      <c r="C10" s="588"/>
      <c r="D10" s="51"/>
      <c r="E10" s="51"/>
      <c r="F10" s="473"/>
      <c r="G10" s="596"/>
      <c r="H10" s="597"/>
      <c r="I10" s="595"/>
      <c r="J10" s="277"/>
    </row>
    <row r="11" ht="21.0" customHeight="1">
      <c r="A11" s="267"/>
      <c r="B11" s="580"/>
      <c r="C11" s="588"/>
      <c r="D11" s="51"/>
      <c r="E11" s="51"/>
      <c r="F11" s="473"/>
      <c r="G11" s="596"/>
      <c r="H11" s="597"/>
      <c r="I11" s="595"/>
      <c r="J11" s="277"/>
    </row>
    <row r="12" ht="21.0" customHeight="1">
      <c r="A12" s="267"/>
      <c r="B12" s="370" t="s">
        <v>256</v>
      </c>
      <c r="C12" s="588"/>
      <c r="D12" s="51"/>
      <c r="E12" s="51"/>
      <c r="F12" s="473"/>
      <c r="G12" s="585"/>
      <c r="H12" s="598"/>
      <c r="I12" s="595"/>
      <c r="J12" s="277"/>
    </row>
    <row r="13" ht="21.0" customHeight="1">
      <c r="A13" s="267"/>
      <c r="B13" s="580" t="s">
        <v>257</v>
      </c>
      <c r="C13" s="581" t="s">
        <v>62</v>
      </c>
      <c r="D13" s="582" t="s">
        <v>63</v>
      </c>
      <c r="E13" s="593" t="s">
        <v>64</v>
      </c>
      <c r="F13" s="594">
        <v>0.0</v>
      </c>
      <c r="G13" s="585">
        <v>0.0</v>
      </c>
      <c r="H13" s="586"/>
      <c r="I13" s="595"/>
      <c r="J13" s="277"/>
    </row>
    <row r="14" ht="21.0" customHeight="1">
      <c r="A14" s="267"/>
      <c r="B14" s="580"/>
      <c r="C14" s="581"/>
      <c r="D14" s="582"/>
      <c r="E14" s="582"/>
      <c r="F14" s="594"/>
      <c r="G14" s="585"/>
      <c r="H14" s="586"/>
      <c r="I14" s="595"/>
      <c r="J14" s="277"/>
    </row>
    <row r="15" ht="21.0" customHeight="1">
      <c r="A15" s="267"/>
      <c r="B15" s="466"/>
      <c r="C15" s="599"/>
      <c r="D15" s="51"/>
      <c r="E15" s="51"/>
      <c r="F15" s="473"/>
      <c r="G15" s="596"/>
      <c r="H15" s="597"/>
      <c r="I15" s="595"/>
      <c r="J15" s="277"/>
    </row>
    <row r="16" ht="21.0" customHeight="1">
      <c r="A16" s="267"/>
      <c r="B16" s="466"/>
      <c r="C16" s="599"/>
      <c r="D16" s="51"/>
      <c r="E16" s="51"/>
      <c r="F16" s="473"/>
      <c r="G16" s="596"/>
      <c r="H16" s="597"/>
      <c r="I16" s="595"/>
      <c r="J16" s="277"/>
    </row>
    <row r="17" ht="21.0" customHeight="1">
      <c r="A17" s="267"/>
      <c r="B17" s="466"/>
      <c r="C17" s="599"/>
      <c r="D17" s="51"/>
      <c r="E17" s="51"/>
      <c r="F17" s="473"/>
      <c r="G17" s="596"/>
      <c r="H17" s="597"/>
      <c r="I17" s="595"/>
      <c r="J17" s="277"/>
    </row>
  </sheetData>
  <mergeCells count="3">
    <mergeCell ref="A1:J1"/>
    <mergeCell ref="B2:D2"/>
    <mergeCell ref="E2:I2"/>
  </mergeCells>
  <hyperlinks>
    <hyperlink r:id="rId1" ref="E8"/>
    <hyperlink r:id="rId2" ref="E13"/>
  </hyperlinks>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88D1"/>
    <outlinePr summaryBelow="0" summaryRight="0"/>
  </sheetPr>
  <sheetViews>
    <sheetView showGridLines="0" workbookViewId="0"/>
  </sheetViews>
  <sheetFormatPr customHeight="1" defaultColWidth="12.63" defaultRowHeight="15.75"/>
  <cols>
    <col customWidth="1" min="1" max="1" width="5.13"/>
    <col customWidth="1" min="2" max="2" width="24.25"/>
    <col customWidth="1" min="3" max="3" width="18.38"/>
    <col customWidth="1" min="4" max="4" width="13.0"/>
    <col customWidth="1" min="5" max="5" width="31.88"/>
    <col customWidth="1" min="6" max="6" width="5.13"/>
  </cols>
  <sheetData>
    <row r="1" ht="6.0" customHeight="1">
      <c r="A1" s="331"/>
    </row>
    <row r="2" ht="66.0" customHeight="1">
      <c r="A2" s="45"/>
      <c r="B2" s="332" t="s">
        <v>31</v>
      </c>
      <c r="C2" s="399"/>
      <c r="D2" s="260" t="s">
        <v>258</v>
      </c>
      <c r="F2" s="45"/>
    </row>
    <row r="3" ht="12.0" customHeight="1">
      <c r="A3" s="45"/>
      <c r="B3" s="335"/>
      <c r="C3" s="335"/>
      <c r="D3" s="335"/>
      <c r="E3" s="335"/>
      <c r="F3" s="45"/>
    </row>
    <row r="4" ht="12.0" customHeight="1">
      <c r="A4" s="225"/>
      <c r="B4" s="337"/>
      <c r="C4" s="337"/>
      <c r="D4" s="337"/>
      <c r="E4" s="337"/>
      <c r="F4" s="225"/>
    </row>
    <row r="5" ht="24.0" customHeight="1">
      <c r="A5" s="369"/>
      <c r="B5" s="370"/>
      <c r="C5" s="370" t="s">
        <v>259</v>
      </c>
      <c r="D5" s="370" t="s">
        <v>260</v>
      </c>
      <c r="E5" s="600" t="s">
        <v>37</v>
      </c>
      <c r="F5" s="369"/>
    </row>
    <row r="6" ht="21.0" customHeight="1">
      <c r="A6" s="267"/>
      <c r="B6" s="601" t="s">
        <v>75</v>
      </c>
      <c r="C6" s="500" t="s">
        <v>261</v>
      </c>
      <c r="D6" s="561"/>
      <c r="E6" s="505"/>
      <c r="F6" s="297"/>
    </row>
    <row r="7" ht="21.0" customHeight="1">
      <c r="A7" s="267"/>
      <c r="B7" s="602"/>
      <c r="C7" s="507"/>
      <c r="D7" s="564"/>
      <c r="E7" s="512"/>
      <c r="F7" s="297"/>
    </row>
    <row r="8" ht="21.0" customHeight="1">
      <c r="A8" s="267"/>
      <c r="B8" s="601"/>
      <c r="C8" s="500"/>
      <c r="D8" s="561"/>
      <c r="E8" s="505"/>
      <c r="F8" s="297"/>
    </row>
    <row r="9" ht="21.0" customHeight="1">
      <c r="A9" s="267"/>
      <c r="B9" s="602"/>
      <c r="C9" s="507"/>
      <c r="D9" s="564"/>
      <c r="E9" s="512"/>
      <c r="F9" s="297"/>
    </row>
    <row r="10" ht="21.0" customHeight="1">
      <c r="A10" s="267"/>
      <c r="B10" s="601"/>
      <c r="C10" s="500"/>
      <c r="D10" s="561"/>
      <c r="E10" s="505"/>
      <c r="F10" s="297"/>
    </row>
    <row r="11" ht="21.0" customHeight="1">
      <c r="A11" s="267"/>
      <c r="B11" s="602"/>
      <c r="C11" s="507"/>
      <c r="D11" s="564"/>
      <c r="E11" s="512"/>
      <c r="F11" s="297"/>
    </row>
    <row r="12" ht="21.0" customHeight="1">
      <c r="A12" s="267"/>
      <c r="B12" s="601"/>
      <c r="C12" s="500"/>
      <c r="D12" s="561"/>
      <c r="E12" s="505"/>
      <c r="F12" s="297"/>
    </row>
    <row r="13" ht="21.0" customHeight="1">
      <c r="A13" s="267"/>
      <c r="B13" s="602"/>
      <c r="C13" s="507"/>
      <c r="D13" s="564"/>
      <c r="E13" s="512"/>
      <c r="F13" s="297"/>
    </row>
    <row r="14" ht="21.0" customHeight="1">
      <c r="A14" s="267"/>
      <c r="B14" s="601"/>
      <c r="C14" s="500"/>
      <c r="D14" s="561"/>
      <c r="E14" s="505"/>
      <c r="F14" s="297"/>
    </row>
    <row r="15" ht="21.0" customHeight="1">
      <c r="A15" s="267"/>
      <c r="B15" s="602"/>
      <c r="C15" s="507"/>
      <c r="D15" s="564"/>
      <c r="E15" s="512"/>
      <c r="F15" s="297"/>
    </row>
    <row r="16" ht="21.0" customHeight="1">
      <c r="A16" s="267"/>
      <c r="B16" s="601"/>
      <c r="C16" s="500"/>
      <c r="D16" s="561"/>
      <c r="E16" s="505"/>
      <c r="F16" s="297"/>
    </row>
    <row r="17" ht="21.0" customHeight="1">
      <c r="A17" s="267"/>
      <c r="B17" s="602"/>
      <c r="C17" s="507"/>
      <c r="D17" s="564"/>
      <c r="E17" s="512"/>
      <c r="F17" s="297"/>
    </row>
    <row r="18" ht="21.0" customHeight="1">
      <c r="A18" s="267"/>
      <c r="B18" s="601"/>
      <c r="C18" s="500"/>
      <c r="D18" s="561"/>
      <c r="E18" s="505"/>
      <c r="F18" s="297"/>
    </row>
    <row r="19" ht="21.0" customHeight="1">
      <c r="A19" s="267"/>
      <c r="B19" s="602"/>
      <c r="C19" s="507"/>
      <c r="D19" s="564"/>
      <c r="E19" s="512"/>
      <c r="F19" s="297"/>
    </row>
    <row r="20" ht="21.0" customHeight="1">
      <c r="A20" s="267"/>
      <c r="B20" s="601"/>
      <c r="C20" s="500"/>
      <c r="D20" s="561"/>
      <c r="E20" s="505"/>
      <c r="F20" s="297"/>
    </row>
    <row r="21" ht="21.0" customHeight="1">
      <c r="A21" s="267"/>
      <c r="B21" s="602"/>
      <c r="C21" s="507"/>
      <c r="D21" s="564"/>
      <c r="E21" s="512"/>
      <c r="F21" s="297"/>
    </row>
    <row r="22" ht="21.0" customHeight="1">
      <c r="A22" s="267"/>
      <c r="B22" s="601"/>
      <c r="C22" s="500"/>
      <c r="D22" s="561"/>
      <c r="E22" s="505"/>
      <c r="F22" s="297"/>
    </row>
    <row r="23" ht="21.0" customHeight="1">
      <c r="A23" s="267"/>
      <c r="B23" s="602"/>
      <c r="C23" s="507"/>
      <c r="D23" s="564"/>
      <c r="E23" s="512"/>
      <c r="F23" s="297"/>
    </row>
    <row r="24" ht="21.0" customHeight="1">
      <c r="A24" s="267"/>
      <c r="B24" s="601"/>
      <c r="C24" s="500"/>
      <c r="D24" s="561"/>
      <c r="E24" s="505"/>
      <c r="F24" s="297"/>
    </row>
    <row r="25" ht="21.0" customHeight="1">
      <c r="A25" s="267"/>
      <c r="B25" s="602"/>
      <c r="C25" s="507"/>
      <c r="D25" s="564"/>
      <c r="E25" s="512"/>
      <c r="F25" s="297"/>
    </row>
    <row r="26" ht="21.0" customHeight="1">
      <c r="A26" s="267"/>
      <c r="B26" s="601"/>
      <c r="C26" s="500"/>
      <c r="D26" s="561"/>
      <c r="E26" s="505"/>
      <c r="F26" s="297"/>
    </row>
    <row r="27" ht="21.0" customHeight="1">
      <c r="A27" s="267"/>
      <c r="B27" s="602"/>
      <c r="C27" s="507"/>
      <c r="D27" s="564"/>
      <c r="E27" s="512"/>
      <c r="F27" s="297"/>
    </row>
    <row r="28" ht="21.0" customHeight="1">
      <c r="A28" s="267"/>
      <c r="B28" s="601"/>
      <c r="C28" s="500"/>
      <c r="D28" s="561"/>
      <c r="E28" s="505"/>
      <c r="F28" s="297"/>
    </row>
    <row r="29" ht="21.0" customHeight="1">
      <c r="A29" s="267"/>
      <c r="B29" s="602"/>
      <c r="C29" s="507"/>
      <c r="D29" s="564"/>
      <c r="E29" s="512"/>
      <c r="F29" s="297"/>
    </row>
    <row r="30" ht="21.0" customHeight="1">
      <c r="A30" s="267"/>
      <c r="B30" s="601"/>
      <c r="C30" s="500"/>
      <c r="D30" s="561"/>
      <c r="E30" s="505"/>
      <c r="F30" s="297"/>
    </row>
    <row r="31" ht="21.0" customHeight="1">
      <c r="A31" s="267"/>
      <c r="B31" s="602"/>
      <c r="C31" s="507"/>
      <c r="D31" s="564"/>
      <c r="E31" s="512"/>
      <c r="F31" s="297"/>
    </row>
    <row r="32" ht="21.0" customHeight="1">
      <c r="A32" s="267"/>
      <c r="B32" s="601"/>
      <c r="C32" s="500"/>
      <c r="D32" s="561"/>
      <c r="E32" s="505"/>
      <c r="F32" s="297"/>
    </row>
    <row r="33" ht="21.0" customHeight="1">
      <c r="A33" s="267"/>
      <c r="B33" s="602"/>
      <c r="C33" s="507"/>
      <c r="D33" s="564"/>
      <c r="E33" s="512"/>
      <c r="F33" s="297"/>
    </row>
    <row r="34" ht="21.0" customHeight="1">
      <c r="A34" s="267"/>
      <c r="B34" s="601"/>
      <c r="C34" s="500"/>
      <c r="D34" s="561"/>
      <c r="E34" s="505"/>
      <c r="F34" s="297"/>
    </row>
    <row r="35" ht="21.0" customHeight="1">
      <c r="A35" s="267"/>
      <c r="B35" s="602"/>
      <c r="C35" s="507"/>
      <c r="D35" s="564"/>
      <c r="E35" s="512"/>
      <c r="F35" s="297"/>
    </row>
    <row r="36" ht="21.0" customHeight="1">
      <c r="A36" s="267"/>
      <c r="B36" s="601"/>
      <c r="C36" s="500"/>
      <c r="D36" s="561"/>
      <c r="E36" s="505"/>
      <c r="F36" s="297"/>
    </row>
    <row r="37" ht="21.0" customHeight="1">
      <c r="A37" s="267"/>
      <c r="B37" s="602"/>
      <c r="C37" s="507"/>
      <c r="D37" s="564"/>
      <c r="E37" s="512"/>
      <c r="F37" s="297"/>
    </row>
    <row r="38" ht="21.0" customHeight="1">
      <c r="A38" s="267"/>
      <c r="B38" s="601"/>
      <c r="C38" s="500"/>
      <c r="D38" s="561"/>
      <c r="E38" s="505"/>
      <c r="F38" s="297"/>
    </row>
    <row r="39" ht="21.0" customHeight="1">
      <c r="A39" s="267"/>
      <c r="B39" s="602"/>
      <c r="C39" s="507"/>
      <c r="D39" s="564"/>
      <c r="E39" s="512"/>
      <c r="F39" s="297"/>
    </row>
    <row r="40" ht="21.0" customHeight="1">
      <c r="A40" s="267"/>
      <c r="B40" s="601"/>
      <c r="C40" s="500"/>
      <c r="D40" s="561"/>
      <c r="E40" s="505"/>
      <c r="F40" s="297"/>
    </row>
    <row r="41" ht="21.0" customHeight="1">
      <c r="A41" s="267"/>
      <c r="B41" s="602"/>
      <c r="C41" s="507"/>
      <c r="D41" s="564"/>
      <c r="E41" s="512"/>
      <c r="F41" s="297"/>
    </row>
    <row r="42" ht="21.0" customHeight="1">
      <c r="A42" s="267"/>
      <c r="B42" s="601"/>
      <c r="C42" s="500"/>
      <c r="D42" s="561"/>
      <c r="E42" s="505"/>
      <c r="F42" s="297"/>
    </row>
    <row r="43" ht="21.0" customHeight="1">
      <c r="A43" s="267"/>
      <c r="B43" s="602"/>
      <c r="C43" s="507"/>
      <c r="D43" s="564"/>
      <c r="E43" s="512"/>
      <c r="F43" s="297"/>
    </row>
    <row r="44" ht="21.0" customHeight="1">
      <c r="A44" s="267"/>
      <c r="B44" s="601"/>
      <c r="C44" s="500"/>
      <c r="D44" s="561"/>
      <c r="E44" s="505"/>
      <c r="F44" s="297"/>
    </row>
    <row r="45" ht="21.0" customHeight="1">
      <c r="A45" s="267"/>
      <c r="B45" s="602"/>
      <c r="C45" s="507"/>
      <c r="D45" s="564"/>
      <c r="E45" s="512"/>
      <c r="F45" s="297"/>
    </row>
    <row r="46" ht="21.0" customHeight="1">
      <c r="A46" s="267"/>
      <c r="B46" s="601"/>
      <c r="C46" s="500"/>
      <c r="D46" s="561"/>
      <c r="E46" s="505"/>
      <c r="F46" s="297"/>
    </row>
    <row r="47" ht="21.0" customHeight="1">
      <c r="A47" s="267"/>
      <c r="B47" s="602"/>
      <c r="C47" s="507"/>
      <c r="D47" s="564"/>
      <c r="E47" s="512"/>
      <c r="F47" s="297"/>
    </row>
    <row r="48" ht="21.0" customHeight="1">
      <c r="A48" s="267"/>
      <c r="B48" s="603"/>
      <c r="C48" s="599"/>
      <c r="D48" s="51"/>
      <c r="E48" s="475"/>
      <c r="F48" s="297"/>
    </row>
  </sheetData>
  <mergeCells count="2">
    <mergeCell ref="A1:F1"/>
    <mergeCell ref="D2:E2"/>
  </mergeCells>
  <drawing r:id="rId1"/>
</worksheet>
</file>